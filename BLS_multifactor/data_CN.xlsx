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文件\A组会\毕业论文\code\BLS_multifactor\"/>
    </mc:Choice>
  </mc:AlternateContent>
  <xr:revisionPtr revIDLastSave="0" documentId="13_ncr:1_{8216AB27-618F-4674-B17E-C12123767ACE}" xr6:coauthVersionLast="47" xr6:coauthVersionMax="47" xr10:uidLastSave="{00000000-0000-0000-0000-000000000000}"/>
  <bookViews>
    <workbookView xWindow="-90" yWindow="620" windowWidth="18900" windowHeight="13200" firstSheet="2" activeTab="5" xr2:uid="{00000000-000D-0000-FFFF-FFFF00000000}"/>
  </bookViews>
  <sheets>
    <sheet name="Gross output" sheetId="1" r:id="rId1"/>
    <sheet name="Gross output quantity" sheetId="6" r:id="rId2"/>
    <sheet name="Labor input quantity" sheetId="2" r:id="rId3"/>
    <sheet name="Labor compensation" sheetId="3" r:id="rId4"/>
    <sheet name="Value added" sheetId="4" r:id="rId5"/>
    <sheet name="TFP index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0" i="2" l="1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</calcChain>
</file>

<file path=xl/sharedStrings.xml><?xml version="1.0" encoding="utf-8"?>
<sst xmlns="http://schemas.openxmlformats.org/spreadsheetml/2006/main" count="243" uniqueCount="46">
  <si>
    <t>1.3 Gross value of output by industry in millions current yuan</t>
  </si>
  <si>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</si>
  <si>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</si>
  <si>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</si>
  <si>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</si>
  <si>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</si>
  <si>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</si>
  <si>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</si>
  <si>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</si>
  <si>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</si>
  <si>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</si>
  <si>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</si>
  <si>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</si>
  <si>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</si>
  <si>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</si>
  <si>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</si>
  <si>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</si>
  <si>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</si>
  <si>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</si>
  <si>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</si>
  <si>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</si>
  <si>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</si>
  <si>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</si>
  <si>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</si>
  <si>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</si>
  <si>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</si>
  <si>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</si>
  <si>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</si>
  <si>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</si>
  <si>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</si>
  <si>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</si>
  <si>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</si>
  <si>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</si>
  <si>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</si>
  <si>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</si>
  <si>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</si>
  <si>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</si>
  <si>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</si>
  <si>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</si>
  <si>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</si>
  <si>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>Labor input index (2000=10)</t>
  </si>
  <si>
    <t>CIP code</t>
  </si>
  <si>
    <t>Total</t>
  </si>
  <si>
    <t>Labor compensation index (1987=100)</t>
  </si>
  <si>
    <t>1.2 Gross value-added by industry in millions current yuan</t>
  </si>
  <si>
    <t>TFP index (gross output basis 1987=100)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</si>
</sst>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_ "/>
    <numFmt numFmtId="179" formatCode="#,##0_ "/>
    <numFmt numFmtId="180" formatCode="#,##0.00;[Red]#,##0.00"/>
    <numFmt numFmtId="181" formatCode="#,##0.00_ "/>
  </numFmts>
  <fonts count="7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3" fillId="0" borderId="0" xfId="1" applyNumberFormat="1" applyAlignment="1">
      <alignment horizontal="center"/>
    </xf>
    <xf numFmtId="2" fontId="0" fillId="0" borderId="0" xfId="0" applyNumberFormat="1"/>
    <xf numFmtId="0" fontId="1" fillId="0" borderId="0" xfId="2" applyFont="1">
      <alignment vertical="center"/>
    </xf>
    <xf numFmtId="178" fontId="1" fillId="0" borderId="0" xfId="2" applyNumberFormat="1" applyFont="1">
      <alignment vertical="center"/>
    </xf>
    <xf numFmtId="0" fontId="2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180" fontId="4" fillId="0" borderId="0" xfId="0" applyNumberFormat="1" applyFont="1"/>
    <xf numFmtId="181" fontId="1" fillId="0" borderId="0" xfId="0" applyNumberFormat="1" applyFont="1" applyAlignment="1">
      <alignment vertical="center"/>
    </xf>
  </cellXfs>
  <cellStyles count="3">
    <cellStyle name="Normal 3" xfId="1" xr:uid="{00000000-0005-0000-0000-000031000000}"/>
    <cellStyle name="標準 3" xfId="2" xr:uid="{00000000-0005-0000-0000-000032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"/>
  <sheetViews>
    <sheetView workbookViewId="0">
      <pane xSplit="2" ySplit="2" topLeftCell="F3" activePane="bottomRight" state="frozen"/>
      <selection pane="topRight"/>
      <selection pane="bottomLeft"/>
      <selection pane="bottomRight" activeCell="B3" sqref="B3"/>
    </sheetView>
  </sheetViews>
  <sheetFormatPr defaultColWidth="8.81640625" defaultRowHeight="14" x14ac:dyDescent="0.25"/>
  <cols>
    <col min="2" max="2" width="17.6328125" customWidth="1"/>
    <col min="26" max="33" width="10.1796875" customWidth="1"/>
  </cols>
  <sheetData>
    <row r="1" spans="1:33" x14ac:dyDescent="0.25">
      <c r="A1" s="7" t="s">
        <v>0</v>
      </c>
    </row>
    <row r="2" spans="1:33" x14ac:dyDescent="0.25">
      <c r="A2" s="8" t="s">
        <v>1</v>
      </c>
      <c r="B2" s="5" t="s">
        <v>2</v>
      </c>
      <c r="C2" s="8">
        <v>1987</v>
      </c>
      <c r="D2" s="8">
        <v>1988</v>
      </c>
      <c r="E2" s="8">
        <v>1989</v>
      </c>
      <c r="F2" s="8">
        <v>1990</v>
      </c>
      <c r="G2" s="8">
        <v>1991</v>
      </c>
      <c r="H2" s="8">
        <v>1992</v>
      </c>
      <c r="I2" s="8">
        <v>1993</v>
      </c>
      <c r="J2" s="8">
        <v>1994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</row>
    <row r="3" spans="1:33" x14ac:dyDescent="0.25">
      <c r="A3" s="8">
        <v>1</v>
      </c>
      <c r="B3" s="5" t="s">
        <v>3</v>
      </c>
      <c r="C3" s="9">
        <v>493782.00962482701</v>
      </c>
      <c r="D3" s="9">
        <v>596481.05892929796</v>
      </c>
      <c r="E3" s="9">
        <v>663289.232529031</v>
      </c>
      <c r="F3" s="9">
        <v>792828.96136898804</v>
      </c>
      <c r="G3" s="9">
        <v>846305.738469415</v>
      </c>
      <c r="H3" s="9">
        <v>939026.593426037</v>
      </c>
      <c r="I3" s="9">
        <v>1130474.71312702</v>
      </c>
      <c r="J3" s="9">
        <v>1568899.40480763</v>
      </c>
      <c r="K3" s="9">
        <v>2013031.0660182801</v>
      </c>
      <c r="L3" s="9">
        <v>2350275.90531528</v>
      </c>
      <c r="M3" s="9">
        <v>2451347.3539392999</v>
      </c>
      <c r="N3" s="9">
        <v>2522918.2930534598</v>
      </c>
      <c r="O3" s="9">
        <v>2515489.8562386599</v>
      </c>
      <c r="P3" s="9">
        <v>2559567.7316204701</v>
      </c>
      <c r="Q3" s="9">
        <v>2711124.3430125001</v>
      </c>
      <c r="R3" s="9">
        <v>2841589.0834142501</v>
      </c>
      <c r="S3" s="9">
        <v>2977321.3356331801</v>
      </c>
      <c r="T3" s="9">
        <v>3656450.3300818698</v>
      </c>
      <c r="U3" s="9">
        <v>3832066.7499402398</v>
      </c>
      <c r="V3" s="9">
        <v>4104840.0779018798</v>
      </c>
      <c r="W3" s="9">
        <v>4883248.1183741698</v>
      </c>
      <c r="X3" s="9">
        <v>5752138.1141363503</v>
      </c>
      <c r="Y3" s="9">
        <v>6015464.2132962104</v>
      </c>
      <c r="Z3" s="9">
        <v>6920026.9353067204</v>
      </c>
      <c r="AA3" s="9">
        <v>8108292.9797381097</v>
      </c>
      <c r="AB3" s="9">
        <v>8943822.7913313191</v>
      </c>
      <c r="AC3" s="9">
        <v>9693426.4280935694</v>
      </c>
      <c r="AD3" s="9">
        <v>9741368.4448856506</v>
      </c>
      <c r="AE3" s="9">
        <v>10126433.394299701</v>
      </c>
      <c r="AF3" s="9">
        <v>10536657.9937691</v>
      </c>
      <c r="AG3" s="9">
        <v>10879089.408772901</v>
      </c>
    </row>
    <row r="4" spans="1:33" x14ac:dyDescent="0.25">
      <c r="A4" s="8">
        <v>2</v>
      </c>
      <c r="B4" s="5" t="s">
        <v>4</v>
      </c>
      <c r="C4" s="9">
        <v>26688.052353882798</v>
      </c>
      <c r="D4" s="9">
        <v>35401.319720692103</v>
      </c>
      <c r="E4" s="9">
        <v>42154.763507158998</v>
      </c>
      <c r="F4" s="9">
        <v>44324.230885000397</v>
      </c>
      <c r="G4" s="9">
        <v>53784.172247324102</v>
      </c>
      <c r="H4" s="9">
        <v>70627.011088515093</v>
      </c>
      <c r="I4" s="9">
        <v>95107.160699318396</v>
      </c>
      <c r="J4" s="9">
        <v>127705.122649507</v>
      </c>
      <c r="K4" s="9">
        <v>164114.33277144399</v>
      </c>
      <c r="L4" s="9">
        <v>191885.817556241</v>
      </c>
      <c r="M4" s="9">
        <v>212520.87894143799</v>
      </c>
      <c r="N4" s="9">
        <v>235417.387172738</v>
      </c>
      <c r="O4" s="9">
        <v>265544.67918283498</v>
      </c>
      <c r="P4" s="9">
        <v>305112.22008255601</v>
      </c>
      <c r="Q4" s="9">
        <v>347296.23478177999</v>
      </c>
      <c r="R4" s="9">
        <v>395048.46268620499</v>
      </c>
      <c r="S4" s="9">
        <v>449523.24175369798</v>
      </c>
      <c r="T4" s="9">
        <v>521443.81866302999</v>
      </c>
      <c r="U4" s="9">
        <v>716046.66971538903</v>
      </c>
      <c r="V4" s="9">
        <v>845817.58073151205</v>
      </c>
      <c r="W4" s="9">
        <v>950670.289129026</v>
      </c>
      <c r="X4" s="9">
        <v>1464305.5085171501</v>
      </c>
      <c r="Y4" s="9">
        <v>1323608.9976337</v>
      </c>
      <c r="Z4" s="9">
        <v>1716512.0597886001</v>
      </c>
      <c r="AA4" s="9">
        <v>2176777.11158909</v>
      </c>
      <c r="AB4" s="9">
        <v>2151342.4946139399</v>
      </c>
      <c r="AC4" s="9">
        <v>2110424.2332064402</v>
      </c>
      <c r="AD4" s="9">
        <v>1875375.91668451</v>
      </c>
      <c r="AE4" s="9">
        <v>1531301.2750993699</v>
      </c>
      <c r="AF4" s="9">
        <v>1439766.0921571599</v>
      </c>
      <c r="AG4" s="9">
        <v>1630945.24448504</v>
      </c>
    </row>
    <row r="5" spans="1:33" x14ac:dyDescent="0.25">
      <c r="A5" s="8">
        <v>3</v>
      </c>
      <c r="B5" s="5" t="s">
        <v>5</v>
      </c>
      <c r="C5" s="9">
        <v>25931.2491119072</v>
      </c>
      <c r="D5" s="9">
        <v>33348.580781698503</v>
      </c>
      <c r="E5" s="9">
        <v>38424.558905125901</v>
      </c>
      <c r="F5" s="9">
        <v>39540.905368838699</v>
      </c>
      <c r="G5" s="9">
        <v>46605.147016055802</v>
      </c>
      <c r="H5" s="9">
        <v>59365.536188373502</v>
      </c>
      <c r="I5" s="9">
        <v>78126.384697562098</v>
      </c>
      <c r="J5" s="9">
        <v>102399.26602850101</v>
      </c>
      <c r="K5" s="9">
        <v>127686.360234323</v>
      </c>
      <c r="L5" s="9">
        <v>144969.97465240399</v>
      </c>
      <c r="M5" s="9">
        <v>155649.22699813001</v>
      </c>
      <c r="N5" s="9">
        <v>178991.627108199</v>
      </c>
      <c r="O5" s="9">
        <v>208788.13050657901</v>
      </c>
      <c r="P5" s="9">
        <v>240490.026443827</v>
      </c>
      <c r="Q5" s="9">
        <v>278251.50111971103</v>
      </c>
      <c r="R5" s="9">
        <v>321414.37253785197</v>
      </c>
      <c r="S5" s="9">
        <v>381779.29386820301</v>
      </c>
      <c r="T5" s="9">
        <v>463223.49040928099</v>
      </c>
      <c r="U5" s="9">
        <v>655056.07394329004</v>
      </c>
      <c r="V5" s="9">
        <v>804015.48923949804</v>
      </c>
      <c r="W5" s="9">
        <v>939811.75122855301</v>
      </c>
      <c r="X5" s="9">
        <v>1242347.17233819</v>
      </c>
      <c r="Y5" s="9">
        <v>961796.81648771197</v>
      </c>
      <c r="Z5" s="9">
        <v>1174134.0848918699</v>
      </c>
      <c r="AA5" s="9">
        <v>1331461.4919215101</v>
      </c>
      <c r="AB5" s="9">
        <v>1172188.4417183099</v>
      </c>
      <c r="AC5" s="9">
        <v>1176585.0048990301</v>
      </c>
      <c r="AD5" s="9">
        <v>1070169.1145375499</v>
      </c>
      <c r="AE5" s="9">
        <v>832645.59690692602</v>
      </c>
      <c r="AF5" s="9">
        <v>772837.59346637502</v>
      </c>
      <c r="AG5" s="9">
        <v>863990.87005830999</v>
      </c>
    </row>
    <row r="6" spans="1:33" x14ac:dyDescent="0.25">
      <c r="A6" s="8">
        <v>4</v>
      </c>
      <c r="B6" s="5" t="s">
        <v>6</v>
      </c>
      <c r="C6" s="9">
        <v>8949.35013112878</v>
      </c>
      <c r="D6" s="9">
        <v>11827.3789817788</v>
      </c>
      <c r="E6" s="9">
        <v>14029.9608345941</v>
      </c>
      <c r="F6" s="9">
        <v>14439.941001876899</v>
      </c>
      <c r="G6" s="9">
        <v>17292.8709462076</v>
      </c>
      <c r="H6" s="9">
        <v>22402.799009974198</v>
      </c>
      <c r="I6" s="9">
        <v>35231.540562656199</v>
      </c>
      <c r="J6" s="9">
        <v>54292.004204814002</v>
      </c>
      <c r="K6" s="9">
        <v>74072.802883391603</v>
      </c>
      <c r="L6" s="9">
        <v>94663.181172917801</v>
      </c>
      <c r="M6" s="9">
        <v>113992.653423553</v>
      </c>
      <c r="N6" s="9">
        <v>112545.276628201</v>
      </c>
      <c r="O6" s="9">
        <v>112557.10404316201</v>
      </c>
      <c r="P6" s="9">
        <v>127354.52995143599</v>
      </c>
      <c r="Q6" s="9">
        <v>135146.61042316101</v>
      </c>
      <c r="R6" s="9">
        <v>143060.16742650699</v>
      </c>
      <c r="S6" s="9">
        <v>193387.43900602701</v>
      </c>
      <c r="T6" s="9">
        <v>263164.52703963901</v>
      </c>
      <c r="U6" s="9">
        <v>377899.974647008</v>
      </c>
      <c r="V6" s="9">
        <v>491411.84616751398</v>
      </c>
      <c r="W6" s="9">
        <v>606113.879632361</v>
      </c>
      <c r="X6" s="9">
        <v>877819.26874325995</v>
      </c>
      <c r="Y6" s="9">
        <v>749675.34827388602</v>
      </c>
      <c r="Z6" s="9">
        <v>987229.78395580698</v>
      </c>
      <c r="AA6" s="9">
        <v>1228624.7688313699</v>
      </c>
      <c r="AB6" s="9">
        <v>1192989.97715142</v>
      </c>
      <c r="AC6" s="9">
        <v>1161961.593227</v>
      </c>
      <c r="AD6" s="9">
        <v>1024855.5057998101</v>
      </c>
      <c r="AE6" s="9">
        <v>826417.32676182699</v>
      </c>
      <c r="AF6" s="9">
        <v>769068.75069493602</v>
      </c>
      <c r="AG6" s="9">
        <v>862106.55094085296</v>
      </c>
    </row>
    <row r="7" spans="1:33" x14ac:dyDescent="0.25">
      <c r="A7" s="8">
        <v>5</v>
      </c>
      <c r="B7" s="5" t="s">
        <v>7</v>
      </c>
      <c r="C7" s="9">
        <v>8560.14932689532</v>
      </c>
      <c r="D7" s="9">
        <v>13802.9030430036</v>
      </c>
      <c r="E7" s="9">
        <v>19437.238472821398</v>
      </c>
      <c r="F7" s="9">
        <v>21728.623013367302</v>
      </c>
      <c r="G7" s="9">
        <v>29128.318363832899</v>
      </c>
      <c r="H7" s="9">
        <v>41935.448086533797</v>
      </c>
      <c r="I7" s="9">
        <v>56746.975782661699</v>
      </c>
      <c r="J7" s="9">
        <v>76577.997345227093</v>
      </c>
      <c r="K7" s="9">
        <v>103148.683836896</v>
      </c>
      <c r="L7" s="9">
        <v>123775.096903415</v>
      </c>
      <c r="M7" s="9">
        <v>140687.84193747799</v>
      </c>
      <c r="N7" s="9">
        <v>137723.61500570801</v>
      </c>
      <c r="O7" s="9">
        <v>136352.74449495299</v>
      </c>
      <c r="P7" s="9">
        <v>148404.80888512899</v>
      </c>
      <c r="Q7" s="9">
        <v>152965.27500040599</v>
      </c>
      <c r="R7" s="9">
        <v>156653.06952241299</v>
      </c>
      <c r="S7" s="9">
        <v>183574.69208421599</v>
      </c>
      <c r="T7" s="9">
        <v>219697.43483028599</v>
      </c>
      <c r="U7" s="9">
        <v>289371.01630951097</v>
      </c>
      <c r="V7" s="9">
        <v>339851.40098320902</v>
      </c>
      <c r="W7" s="9">
        <v>379636.50114578201</v>
      </c>
      <c r="X7" s="9">
        <v>534814.91015225498</v>
      </c>
      <c r="Y7" s="9">
        <v>444211.51029501198</v>
      </c>
      <c r="Z7" s="9">
        <v>549432.23184597294</v>
      </c>
      <c r="AA7" s="9">
        <v>653501.75629775506</v>
      </c>
      <c r="AB7" s="9">
        <v>606397.66242537601</v>
      </c>
      <c r="AC7" s="9">
        <v>670843.76692669897</v>
      </c>
      <c r="AD7" s="9">
        <v>666229.30800197402</v>
      </c>
      <c r="AE7" s="9">
        <v>556768.22699199105</v>
      </c>
      <c r="AF7" s="9">
        <v>556830.34525072202</v>
      </c>
      <c r="AG7" s="9">
        <v>668870.815667841</v>
      </c>
    </row>
    <row r="8" spans="1:33" x14ac:dyDescent="0.25">
      <c r="A8" s="8">
        <v>6</v>
      </c>
      <c r="B8" s="5" t="s">
        <v>8</v>
      </c>
      <c r="C8" s="9">
        <v>152312.31603012001</v>
      </c>
      <c r="D8" s="9">
        <v>189766.819182865</v>
      </c>
      <c r="E8" s="9">
        <v>211103.48270378</v>
      </c>
      <c r="F8" s="9">
        <v>223467.29118528299</v>
      </c>
      <c r="G8" s="9">
        <v>261712.43881203199</v>
      </c>
      <c r="H8" s="9">
        <v>330434.86716885102</v>
      </c>
      <c r="I8" s="9">
        <v>469177.43262224802</v>
      </c>
      <c r="J8" s="9">
        <v>662524.90045868501</v>
      </c>
      <c r="K8" s="9">
        <v>857443.75365980598</v>
      </c>
      <c r="L8" s="9">
        <v>1031028.46832948</v>
      </c>
      <c r="M8" s="9">
        <v>1173873.3361806099</v>
      </c>
      <c r="N8" s="9">
        <v>1126971.2055021301</v>
      </c>
      <c r="O8" s="9">
        <v>1099971.7277358901</v>
      </c>
      <c r="P8" s="9">
        <v>1193536.6561356899</v>
      </c>
      <c r="Q8" s="9">
        <v>1226369.7531850601</v>
      </c>
      <c r="R8" s="9">
        <v>1257321.9660606701</v>
      </c>
      <c r="S8" s="9">
        <v>1543471.5211926</v>
      </c>
      <c r="T8" s="9">
        <v>1910200.1555174701</v>
      </c>
      <c r="U8" s="9">
        <v>2243673.5804671599</v>
      </c>
      <c r="V8" s="9">
        <v>2737310.3354977299</v>
      </c>
      <c r="W8" s="9">
        <v>3467571.94631893</v>
      </c>
      <c r="X8" s="9">
        <v>4264512.8326087901</v>
      </c>
      <c r="Y8" s="9">
        <v>4836883.1017498402</v>
      </c>
      <c r="Z8" s="9">
        <v>5986231.0599950301</v>
      </c>
      <c r="AA8" s="9">
        <v>7285120.9851315897</v>
      </c>
      <c r="AB8" s="9">
        <v>8229343.2973534204</v>
      </c>
      <c r="AC8" s="9">
        <v>8861884.5939580295</v>
      </c>
      <c r="AD8" s="9">
        <v>9580654.2859531604</v>
      </c>
      <c r="AE8" s="9">
        <v>10120188.906636</v>
      </c>
      <c r="AF8" s="9">
        <v>10842041.790431499</v>
      </c>
      <c r="AG8" s="9">
        <v>12307396.945490001</v>
      </c>
    </row>
    <row r="9" spans="1:33" x14ac:dyDescent="0.25">
      <c r="A9" s="8">
        <v>7</v>
      </c>
      <c r="B9" s="5" t="s">
        <v>9</v>
      </c>
      <c r="C9" s="9">
        <v>28274.696319812301</v>
      </c>
      <c r="D9" s="9">
        <v>35673.569596545698</v>
      </c>
      <c r="E9" s="9">
        <v>40227.1924678676</v>
      </c>
      <c r="F9" s="9">
        <v>42905.329503474299</v>
      </c>
      <c r="G9" s="9">
        <v>50841.394393385897</v>
      </c>
      <c r="H9" s="9">
        <v>65008.166094766799</v>
      </c>
      <c r="I9" s="9">
        <v>82125.429151256205</v>
      </c>
      <c r="J9" s="9">
        <v>103022.099442045</v>
      </c>
      <c r="K9" s="9">
        <v>125681.10194118301</v>
      </c>
      <c r="L9" s="9">
        <v>137603.77198503999</v>
      </c>
      <c r="M9" s="9">
        <v>142060.16883191801</v>
      </c>
      <c r="N9" s="9">
        <v>143091.00853245601</v>
      </c>
      <c r="O9" s="9">
        <v>147238.400946204</v>
      </c>
      <c r="P9" s="9">
        <v>155489.84369885499</v>
      </c>
      <c r="Q9" s="9">
        <v>162134.677379178</v>
      </c>
      <c r="R9" s="9">
        <v>168941.024048291</v>
      </c>
      <c r="S9" s="9">
        <v>194981.20526906499</v>
      </c>
      <c r="T9" s="9">
        <v>225954.91096383301</v>
      </c>
      <c r="U9" s="9">
        <v>257654.38291650999</v>
      </c>
      <c r="V9" s="9">
        <v>297889.18877505901</v>
      </c>
      <c r="W9" s="9">
        <v>355867.22653927602</v>
      </c>
      <c r="X9" s="9">
        <v>425487.34671907901</v>
      </c>
      <c r="Y9" s="9">
        <v>470017.27565214399</v>
      </c>
      <c r="Z9" s="9">
        <v>557228.39925645199</v>
      </c>
      <c r="AA9" s="9">
        <v>655846.83231942402</v>
      </c>
      <c r="AB9" s="9">
        <v>717064.113146157</v>
      </c>
      <c r="AC9" s="9">
        <v>756050.88436752395</v>
      </c>
      <c r="AD9" s="9">
        <v>801119.25827565696</v>
      </c>
      <c r="AE9" s="9">
        <v>825754.93969055801</v>
      </c>
      <c r="AF9" s="9">
        <v>866305.93872159603</v>
      </c>
      <c r="AG9" s="9">
        <v>963778.51443111198</v>
      </c>
    </row>
    <row r="10" spans="1:33" x14ac:dyDescent="0.25">
      <c r="A10" s="8">
        <v>8</v>
      </c>
      <c r="B10" s="5" t="s">
        <v>10</v>
      </c>
      <c r="C10" s="9">
        <v>162507.81075503799</v>
      </c>
      <c r="D10" s="9">
        <v>206021.51980266601</v>
      </c>
      <c r="E10" s="9">
        <v>233507.80775048101</v>
      </c>
      <c r="F10" s="9">
        <v>246015.777707111</v>
      </c>
      <c r="G10" s="9">
        <v>290373.817107521</v>
      </c>
      <c r="H10" s="9">
        <v>369725.17799188202</v>
      </c>
      <c r="I10" s="9">
        <v>476212.60338482697</v>
      </c>
      <c r="J10" s="9">
        <v>610444.65810960997</v>
      </c>
      <c r="K10" s="9">
        <v>752412.97149037803</v>
      </c>
      <c r="L10" s="9">
        <v>839428.24208807701</v>
      </c>
      <c r="M10" s="9">
        <v>885169.42990214902</v>
      </c>
      <c r="N10" s="9">
        <v>856434.14926774194</v>
      </c>
      <c r="O10" s="9">
        <v>843406.66945558903</v>
      </c>
      <c r="P10" s="9">
        <v>877943.85663148097</v>
      </c>
      <c r="Q10" s="9">
        <v>884655.27490238799</v>
      </c>
      <c r="R10" s="9">
        <v>886988.28087800799</v>
      </c>
      <c r="S10" s="9">
        <v>1080596.62686086</v>
      </c>
      <c r="T10" s="9">
        <v>1327127.82442815</v>
      </c>
      <c r="U10" s="9">
        <v>1532431.2411959299</v>
      </c>
      <c r="V10" s="9">
        <v>1845091.30534601</v>
      </c>
      <c r="W10" s="9">
        <v>2305327.3192241401</v>
      </c>
      <c r="X10" s="9">
        <v>2529986.3338492499</v>
      </c>
      <c r="Y10" s="9">
        <v>2554103.2375813401</v>
      </c>
      <c r="Z10" s="9">
        <v>2946290.5681056799</v>
      </c>
      <c r="AA10" s="9">
        <v>3248735.3945210199</v>
      </c>
      <c r="AB10" s="9">
        <v>3310323.1914009298</v>
      </c>
      <c r="AC10" s="9">
        <v>3352558.9763284801</v>
      </c>
      <c r="AD10" s="9">
        <v>3410642.0594930998</v>
      </c>
      <c r="AE10" s="9">
        <v>3308098.5477590701</v>
      </c>
      <c r="AF10" s="9">
        <v>3290387.4426984</v>
      </c>
      <c r="AG10" s="9">
        <v>3463946.71932369</v>
      </c>
    </row>
    <row r="11" spans="1:33" x14ac:dyDescent="0.25">
      <c r="A11" s="8">
        <v>9</v>
      </c>
      <c r="B11" s="5" t="s">
        <v>11</v>
      </c>
      <c r="C11" s="9">
        <v>30346.340453887198</v>
      </c>
      <c r="D11" s="9">
        <v>41807.456676141701</v>
      </c>
      <c r="E11" s="9">
        <v>51373.658569323903</v>
      </c>
      <c r="F11" s="9">
        <v>58121.385701279898</v>
      </c>
      <c r="G11" s="9">
        <v>73948.9368139078</v>
      </c>
      <c r="H11" s="9">
        <v>101462.40831175</v>
      </c>
      <c r="I11" s="9">
        <v>142168.552453193</v>
      </c>
      <c r="J11" s="9">
        <v>198344.57296259</v>
      </c>
      <c r="K11" s="9">
        <v>264934.03642893501</v>
      </c>
      <c r="L11" s="9">
        <v>321401.65762043599</v>
      </c>
      <c r="M11" s="9">
        <v>368991.60584200302</v>
      </c>
      <c r="N11" s="9">
        <v>354979.59809128998</v>
      </c>
      <c r="O11" s="9">
        <v>347300.89649284299</v>
      </c>
      <c r="P11" s="9">
        <v>379111.82790765498</v>
      </c>
      <c r="Q11" s="9">
        <v>391439.26736389298</v>
      </c>
      <c r="R11" s="9">
        <v>403495.27221309597</v>
      </c>
      <c r="S11" s="9">
        <v>482205.41623789701</v>
      </c>
      <c r="T11" s="9">
        <v>580543.266590407</v>
      </c>
      <c r="U11" s="9">
        <v>673025.88703397603</v>
      </c>
      <c r="V11" s="9">
        <v>803273.66240067</v>
      </c>
      <c r="W11" s="9">
        <v>994283.50729909004</v>
      </c>
      <c r="X11" s="9">
        <v>1200828.5371063</v>
      </c>
      <c r="Y11" s="9">
        <v>1339291.9691295701</v>
      </c>
      <c r="Z11" s="9">
        <v>1625561.8064796899</v>
      </c>
      <c r="AA11" s="9">
        <v>1944833.1290337499</v>
      </c>
      <c r="AB11" s="9">
        <v>2161212.2221482201</v>
      </c>
      <c r="AC11" s="9">
        <v>2269753.8699019598</v>
      </c>
      <c r="AD11" s="9">
        <v>2395829.5801287098</v>
      </c>
      <c r="AE11" s="9">
        <v>2484281.0700449701</v>
      </c>
      <c r="AF11" s="9">
        <v>2608962.8286973098</v>
      </c>
      <c r="AG11" s="9">
        <v>2905440.7312842598</v>
      </c>
    </row>
    <row r="12" spans="1:33" x14ac:dyDescent="0.25">
      <c r="A12" s="8">
        <v>10</v>
      </c>
      <c r="B12" s="5" t="s">
        <v>12</v>
      </c>
      <c r="C12" s="9">
        <v>15193.565968229599</v>
      </c>
      <c r="D12" s="9">
        <v>20078.042227204201</v>
      </c>
      <c r="E12" s="9">
        <v>23732.728181953698</v>
      </c>
      <c r="F12" s="9">
        <v>27023.4212051057</v>
      </c>
      <c r="G12" s="9">
        <v>33884.053856892802</v>
      </c>
      <c r="H12" s="9">
        <v>45859.452610988701</v>
      </c>
      <c r="I12" s="9">
        <v>69488.422926339103</v>
      </c>
      <c r="J12" s="9">
        <v>103687.841325524</v>
      </c>
      <c r="K12" s="9">
        <v>141650.72058639501</v>
      </c>
      <c r="L12" s="9">
        <v>178446.887848154</v>
      </c>
      <c r="M12" s="9">
        <v>211942.71628317601</v>
      </c>
      <c r="N12" s="9">
        <v>205349.87206601599</v>
      </c>
      <c r="O12" s="9">
        <v>202548.40744579199</v>
      </c>
      <c r="P12" s="9">
        <v>226139.14638802901</v>
      </c>
      <c r="Q12" s="9">
        <v>237554.38844475499</v>
      </c>
      <c r="R12" s="9">
        <v>249505.25626858801</v>
      </c>
      <c r="S12" s="9">
        <v>301325.004313474</v>
      </c>
      <c r="T12" s="9">
        <v>366777.17486392101</v>
      </c>
      <c r="U12" s="9">
        <v>432448.70850951999</v>
      </c>
      <c r="V12" s="9">
        <v>524036.05376190401</v>
      </c>
      <c r="W12" s="9">
        <v>659192.15284421796</v>
      </c>
      <c r="X12" s="9">
        <v>769203.10819204</v>
      </c>
      <c r="Y12" s="9">
        <v>829556.12987834704</v>
      </c>
      <c r="Z12" s="9">
        <v>997250.73849663802</v>
      </c>
      <c r="AA12" s="9">
        <v>1167708.8192902301</v>
      </c>
      <c r="AB12" s="9">
        <v>1270043.51995426</v>
      </c>
      <c r="AC12" s="9">
        <v>1318076.2588676801</v>
      </c>
      <c r="AD12" s="9">
        <v>1375014.5589181001</v>
      </c>
      <c r="AE12" s="9">
        <v>1402538.6275694</v>
      </c>
      <c r="AF12" s="9">
        <v>1452530.10274319</v>
      </c>
      <c r="AG12" s="9">
        <v>1595348.7913736401</v>
      </c>
    </row>
    <row r="13" spans="1:33" x14ac:dyDescent="0.25">
      <c r="A13" s="8">
        <v>11</v>
      </c>
      <c r="B13" s="5" t="s">
        <v>13</v>
      </c>
      <c r="C13" s="9">
        <v>21077.444006023299</v>
      </c>
      <c r="D13" s="9">
        <v>25937.688675178499</v>
      </c>
      <c r="E13" s="9">
        <v>28461.226174959698</v>
      </c>
      <c r="F13" s="9">
        <v>31227.5859270484</v>
      </c>
      <c r="G13" s="9">
        <v>37024.250745693898</v>
      </c>
      <c r="H13" s="9">
        <v>47368.947883341003</v>
      </c>
      <c r="I13" s="9">
        <v>72108.184261046496</v>
      </c>
      <c r="J13" s="9">
        <v>107993.278076976</v>
      </c>
      <c r="K13" s="9">
        <v>144641.48220217001</v>
      </c>
      <c r="L13" s="9">
        <v>181047.63927745001</v>
      </c>
      <c r="M13" s="9">
        <v>213828.266253301</v>
      </c>
      <c r="N13" s="9">
        <v>232333.119571096</v>
      </c>
      <c r="O13" s="9">
        <v>257318.55507399901</v>
      </c>
      <c r="P13" s="9">
        <v>301122.45234227</v>
      </c>
      <c r="Q13" s="9">
        <v>342435.01264539902</v>
      </c>
      <c r="R13" s="9">
        <v>388944.900913416</v>
      </c>
      <c r="S13" s="9">
        <v>458157.180333542</v>
      </c>
      <c r="T13" s="9">
        <v>543126.37653786701</v>
      </c>
      <c r="U13" s="9">
        <v>658643.99576273595</v>
      </c>
      <c r="V13" s="9">
        <v>798858.41867572197</v>
      </c>
      <c r="W13" s="9">
        <v>1005844.17028269</v>
      </c>
      <c r="X13" s="9">
        <v>1168911.82917889</v>
      </c>
      <c r="Y13" s="9">
        <v>1255402.55348975</v>
      </c>
      <c r="Z13" s="9">
        <v>1506587.3495996201</v>
      </c>
      <c r="AA13" s="9">
        <v>1758756.56386568</v>
      </c>
      <c r="AB13" s="9">
        <v>1906956.25806448</v>
      </c>
      <c r="AC13" s="9">
        <v>2042146.9036133301</v>
      </c>
      <c r="AD13" s="9">
        <v>2196308.1687267199</v>
      </c>
      <c r="AE13" s="9">
        <v>2271466.79526253</v>
      </c>
      <c r="AF13" s="9">
        <v>2403929.1939029498</v>
      </c>
      <c r="AG13" s="9">
        <v>2697238.3411556701</v>
      </c>
    </row>
    <row r="14" spans="1:33" x14ac:dyDescent="0.25">
      <c r="A14" s="8">
        <v>12</v>
      </c>
      <c r="B14" s="5" t="s">
        <v>14</v>
      </c>
      <c r="C14" s="9">
        <v>43342.123525659001</v>
      </c>
      <c r="D14" s="9">
        <v>53862.121779488298</v>
      </c>
      <c r="E14" s="9">
        <v>59750.1564196033</v>
      </c>
      <c r="F14" s="9">
        <v>67451.160831125904</v>
      </c>
      <c r="G14" s="9">
        <v>81656.770723190595</v>
      </c>
      <c r="H14" s="9">
        <v>106763.15442877301</v>
      </c>
      <c r="I14" s="9">
        <v>144383.62454905</v>
      </c>
      <c r="J14" s="9">
        <v>194716.26193434201</v>
      </c>
      <c r="K14" s="9">
        <v>250338.88621803201</v>
      </c>
      <c r="L14" s="9">
        <v>293523.94179007201</v>
      </c>
      <c r="M14" s="9">
        <v>326093.16068430501</v>
      </c>
      <c r="N14" s="9">
        <v>352933.06185538002</v>
      </c>
      <c r="O14" s="9">
        <v>389510.286809318</v>
      </c>
      <c r="P14" s="9">
        <v>443519.59490527702</v>
      </c>
      <c r="Q14" s="9">
        <v>497550.79256537999</v>
      </c>
      <c r="R14" s="9">
        <v>558066.331126426</v>
      </c>
      <c r="S14" s="9">
        <v>623511.797904782</v>
      </c>
      <c r="T14" s="9">
        <v>695482.65297059901</v>
      </c>
      <c r="U14" s="9">
        <v>812042.18553718796</v>
      </c>
      <c r="V14" s="9">
        <v>930504.76337899198</v>
      </c>
      <c r="W14" s="9">
        <v>1100105.5852981301</v>
      </c>
      <c r="X14" s="9">
        <v>1265807.93686988</v>
      </c>
      <c r="Y14" s="9">
        <v>1345633.4276484901</v>
      </c>
      <c r="Z14" s="9">
        <v>1549368.5747577299</v>
      </c>
      <c r="AA14" s="9">
        <v>1758922.17483701</v>
      </c>
      <c r="AB14" s="9">
        <v>1851756.8750994301</v>
      </c>
      <c r="AC14" s="9">
        <v>2005848.5431180899</v>
      </c>
      <c r="AD14" s="9">
        <v>2180387.0317300102</v>
      </c>
      <c r="AE14" s="9">
        <v>2235593.5640997998</v>
      </c>
      <c r="AF14" s="9">
        <v>2368216.2973061302</v>
      </c>
      <c r="AG14" s="9">
        <v>2659605.1566801099</v>
      </c>
    </row>
    <row r="15" spans="1:33" x14ac:dyDescent="0.25">
      <c r="A15" s="8">
        <v>13</v>
      </c>
      <c r="B15" s="5" t="s">
        <v>15</v>
      </c>
      <c r="C15" s="9">
        <v>39332.346210174801</v>
      </c>
      <c r="D15" s="9">
        <v>50466.465998860702</v>
      </c>
      <c r="E15" s="9">
        <v>57919.698010006003</v>
      </c>
      <c r="F15" s="9">
        <v>60282.218634796001</v>
      </c>
      <c r="G15" s="9">
        <v>71163.753536438206</v>
      </c>
      <c r="H15" s="9">
        <v>90627.709096641396</v>
      </c>
      <c r="I15" s="9">
        <v>125473.417004016</v>
      </c>
      <c r="J15" s="9">
        <v>173101.53023641399</v>
      </c>
      <c r="K15" s="9">
        <v>222250.879083996</v>
      </c>
      <c r="L15" s="9">
        <v>263334.58166777098</v>
      </c>
      <c r="M15" s="9">
        <v>295594.377027718</v>
      </c>
      <c r="N15" s="9">
        <v>336072.312622778</v>
      </c>
      <c r="O15" s="9">
        <v>387081.45666991302</v>
      </c>
      <c r="P15" s="9">
        <v>451146.30440495902</v>
      </c>
      <c r="Q15" s="9">
        <v>520672.28355755698</v>
      </c>
      <c r="R15" s="9">
        <v>599295.38199420099</v>
      </c>
      <c r="S15" s="9">
        <v>743240.56070278399</v>
      </c>
      <c r="T15" s="9">
        <v>929180.96210548095</v>
      </c>
      <c r="U15" s="9">
        <v>1161466.9861623</v>
      </c>
      <c r="V15" s="9">
        <v>1468729.33857805</v>
      </c>
      <c r="W15" s="9">
        <v>1928130.0188579501</v>
      </c>
      <c r="X15" s="9">
        <v>2277429.22608503</v>
      </c>
      <c r="Y15" s="9">
        <v>2486100.2411385099</v>
      </c>
      <c r="Z15" s="9">
        <v>3071758.8446191298</v>
      </c>
      <c r="AA15" s="9">
        <v>3668609.6926565398</v>
      </c>
      <c r="AB15" s="9">
        <v>4069757.1008775202</v>
      </c>
      <c r="AC15" s="9">
        <v>3967879.4537157901</v>
      </c>
      <c r="AD15" s="9">
        <v>3871830.8968233</v>
      </c>
      <c r="AE15" s="9">
        <v>3854054.3157945001</v>
      </c>
      <c r="AF15" s="9">
        <v>3798897.83285088</v>
      </c>
      <c r="AG15" s="9">
        <v>3959533.2960353</v>
      </c>
    </row>
    <row r="16" spans="1:33" x14ac:dyDescent="0.25">
      <c r="A16" s="8">
        <v>14</v>
      </c>
      <c r="B16" s="5" t="s">
        <v>16</v>
      </c>
      <c r="C16" s="9">
        <v>131807.20429251401</v>
      </c>
      <c r="D16" s="9">
        <v>169899.97908136199</v>
      </c>
      <c r="E16" s="9">
        <v>195914.79644296199</v>
      </c>
      <c r="F16" s="9">
        <v>214504.54997565699</v>
      </c>
      <c r="G16" s="9">
        <v>260762.81931936101</v>
      </c>
      <c r="H16" s="9">
        <v>342379.048863984</v>
      </c>
      <c r="I16" s="9">
        <v>463025.17938713299</v>
      </c>
      <c r="J16" s="9">
        <v>624438.63870985794</v>
      </c>
      <c r="K16" s="9">
        <v>804509.41074417694</v>
      </c>
      <c r="L16" s="9">
        <v>944282.33465991099</v>
      </c>
      <c r="M16" s="9">
        <v>1050156.0961491901</v>
      </c>
      <c r="N16" s="9">
        <v>1070587.75492559</v>
      </c>
      <c r="O16" s="9">
        <v>1115410.35936347</v>
      </c>
      <c r="P16" s="9">
        <v>1235741.0200431901</v>
      </c>
      <c r="Q16" s="9">
        <v>1330865.8774614199</v>
      </c>
      <c r="R16" s="9">
        <v>1434540.95828167</v>
      </c>
      <c r="S16" s="9">
        <v>1758337.42780704</v>
      </c>
      <c r="T16" s="9">
        <v>2172794.94425201</v>
      </c>
      <c r="U16" s="9">
        <v>2618093.9090358699</v>
      </c>
      <c r="V16" s="9">
        <v>3233724.9947168902</v>
      </c>
      <c r="W16" s="9">
        <v>4148175.23708151</v>
      </c>
      <c r="X16" s="9">
        <v>5026080.3925828403</v>
      </c>
      <c r="Y16" s="9">
        <v>5622666.6955175297</v>
      </c>
      <c r="Z16" s="9">
        <v>6952606.6344331801</v>
      </c>
      <c r="AA16" s="9">
        <v>8404035.2219912298</v>
      </c>
      <c r="AB16" s="9">
        <v>9432293.7166119795</v>
      </c>
      <c r="AC16" s="9">
        <v>9774668.2552315891</v>
      </c>
      <c r="AD16" s="9">
        <v>10181908.015404901</v>
      </c>
      <c r="AE16" s="9">
        <v>10541833.4147404</v>
      </c>
      <c r="AF16" s="9">
        <v>10991229.8286009</v>
      </c>
      <c r="AG16" s="9">
        <v>12153368.2133979</v>
      </c>
    </row>
    <row r="17" spans="1:33" x14ac:dyDescent="0.25">
      <c r="A17" s="8">
        <v>15</v>
      </c>
      <c r="B17" s="5" t="s">
        <v>17</v>
      </c>
      <c r="C17" s="9">
        <v>45763.252499871604</v>
      </c>
      <c r="D17" s="9">
        <v>61117.674280477302</v>
      </c>
      <c r="E17" s="9">
        <v>72979.390813585094</v>
      </c>
      <c r="F17" s="9">
        <v>79362.446197461002</v>
      </c>
      <c r="G17" s="9">
        <v>97834.054520187201</v>
      </c>
      <c r="H17" s="9">
        <v>130254.86255325199</v>
      </c>
      <c r="I17" s="9">
        <v>175734.30546260701</v>
      </c>
      <c r="J17" s="9">
        <v>236436.48061250799</v>
      </c>
      <c r="K17" s="9">
        <v>306360.29372874601</v>
      </c>
      <c r="L17" s="9">
        <v>360181.12637844699</v>
      </c>
      <c r="M17" s="9">
        <v>401223.25737113698</v>
      </c>
      <c r="N17" s="9">
        <v>434618.77407001198</v>
      </c>
      <c r="O17" s="9">
        <v>480034.29295265803</v>
      </c>
      <c r="P17" s="9">
        <v>547441.244925807</v>
      </c>
      <c r="Q17" s="9">
        <v>614774.45629368594</v>
      </c>
      <c r="R17" s="9">
        <v>690221.59144226206</v>
      </c>
      <c r="S17" s="9">
        <v>788084.69767239003</v>
      </c>
      <c r="T17" s="9">
        <v>902054.56418137695</v>
      </c>
      <c r="U17" s="9">
        <v>1068292.6295858801</v>
      </c>
      <c r="V17" s="9">
        <v>1253994.1169841599</v>
      </c>
      <c r="W17" s="9">
        <v>1524083.6090776201</v>
      </c>
      <c r="X17" s="9">
        <v>1785801.00648953</v>
      </c>
      <c r="Y17" s="9">
        <v>1933943.8999699899</v>
      </c>
      <c r="Z17" s="9">
        <v>2287756.2031294401</v>
      </c>
      <c r="AA17" s="9">
        <v>2662232.33032085</v>
      </c>
      <c r="AB17" s="9">
        <v>2877168.6715319701</v>
      </c>
      <c r="AC17" s="9">
        <v>2970453.6482629701</v>
      </c>
      <c r="AD17" s="9">
        <v>3082534.8001381499</v>
      </c>
      <c r="AE17" s="9">
        <v>3125410.7428973499</v>
      </c>
      <c r="AF17" s="9">
        <v>3218300.8747760202</v>
      </c>
      <c r="AG17" s="9">
        <v>3514269.2979579498</v>
      </c>
    </row>
    <row r="18" spans="1:33" x14ac:dyDescent="0.25">
      <c r="A18" s="8">
        <v>16</v>
      </c>
      <c r="B18" s="5" t="s">
        <v>18</v>
      </c>
      <c r="C18" s="9">
        <v>78244.203805897894</v>
      </c>
      <c r="D18" s="9">
        <v>105005.282338839</v>
      </c>
      <c r="E18" s="9">
        <v>125962.129436445</v>
      </c>
      <c r="F18" s="9">
        <v>143474.62416138101</v>
      </c>
      <c r="G18" s="9">
        <v>181141.627065743</v>
      </c>
      <c r="H18" s="9">
        <v>246758.29879271201</v>
      </c>
      <c r="I18" s="9">
        <v>339978.65415343601</v>
      </c>
      <c r="J18" s="9">
        <v>466869.31114643102</v>
      </c>
      <c r="K18" s="9">
        <v>617356.04370811197</v>
      </c>
      <c r="L18" s="9">
        <v>740136.580139798</v>
      </c>
      <c r="M18" s="9">
        <v>840302.88757424802</v>
      </c>
      <c r="N18" s="9">
        <v>747825.30163284903</v>
      </c>
      <c r="O18" s="9">
        <v>663377.03216425003</v>
      </c>
      <c r="P18" s="9">
        <v>680532.652654176</v>
      </c>
      <c r="Q18" s="9">
        <v>632397.37075908005</v>
      </c>
      <c r="R18" s="9">
        <v>571708.84581381804</v>
      </c>
      <c r="S18" s="9">
        <v>780113.33124893904</v>
      </c>
      <c r="T18" s="9">
        <v>1062342.58474294</v>
      </c>
      <c r="U18" s="9">
        <v>1238728.76732327</v>
      </c>
      <c r="V18" s="9">
        <v>1578089.6700412801</v>
      </c>
      <c r="W18" s="9">
        <v>2086391.80578906</v>
      </c>
      <c r="X18" s="9">
        <v>2509129.0007434702</v>
      </c>
      <c r="Y18" s="9">
        <v>2787212.2759167501</v>
      </c>
      <c r="Z18" s="9">
        <v>3482969.5447122701</v>
      </c>
      <c r="AA18" s="9">
        <v>4216897.0649769995</v>
      </c>
      <c r="AB18" s="9">
        <v>4740176.4353311304</v>
      </c>
      <c r="AC18" s="9">
        <v>5057437.4263296397</v>
      </c>
      <c r="AD18" s="9">
        <v>5420186.4878777601</v>
      </c>
      <c r="AE18" s="9">
        <v>5690622.2007138403</v>
      </c>
      <c r="AF18" s="9">
        <v>6055133.8038724</v>
      </c>
      <c r="AG18" s="9">
        <v>6829273.4273129003</v>
      </c>
    </row>
    <row r="19" spans="1:33" x14ac:dyDescent="0.25">
      <c r="A19" s="8">
        <v>17</v>
      </c>
      <c r="B19" s="5" t="s">
        <v>19</v>
      </c>
      <c r="C19" s="9">
        <v>106229.732317209</v>
      </c>
      <c r="D19" s="9">
        <v>145747.36176104099</v>
      </c>
      <c r="E19" s="9">
        <v>178433.22492157199</v>
      </c>
      <c r="F19" s="9">
        <v>188714.044180439</v>
      </c>
      <c r="G19" s="9">
        <v>232312.30513083399</v>
      </c>
      <c r="H19" s="9">
        <v>308872.31593827798</v>
      </c>
      <c r="I19" s="9">
        <v>393532.541836249</v>
      </c>
      <c r="J19" s="9">
        <v>498428.81455632701</v>
      </c>
      <c r="K19" s="9">
        <v>625750.56770059397</v>
      </c>
      <c r="L19" s="9">
        <v>700662.41067381995</v>
      </c>
      <c r="M19" s="9">
        <v>741805.54404139705</v>
      </c>
      <c r="N19" s="9">
        <v>856512.39511297701</v>
      </c>
      <c r="O19" s="9">
        <v>999033.27561727597</v>
      </c>
      <c r="P19" s="9">
        <v>1143956.1428682299</v>
      </c>
      <c r="Q19" s="9">
        <v>1317490.43769987</v>
      </c>
      <c r="R19" s="9">
        <v>1513617.9687220401</v>
      </c>
      <c r="S19" s="9">
        <v>1953389.0197129799</v>
      </c>
      <c r="T19" s="9">
        <v>2535424.4392042402</v>
      </c>
      <c r="U19" s="9">
        <v>3216397.3923231601</v>
      </c>
      <c r="V19" s="9">
        <v>4164535.6678604302</v>
      </c>
      <c r="W19" s="9">
        <v>5589723.4392511304</v>
      </c>
      <c r="X19" s="9">
        <v>6479937.2590684099</v>
      </c>
      <c r="Y19" s="9">
        <v>6941908.7141620303</v>
      </c>
      <c r="Z19" s="9">
        <v>8593759.6184158996</v>
      </c>
      <c r="AA19" s="9">
        <v>10178811.6551985</v>
      </c>
      <c r="AB19" s="9">
        <v>11199672.2438493</v>
      </c>
      <c r="AC19" s="9">
        <v>10963030.3840483</v>
      </c>
      <c r="AD19" s="9">
        <v>10746310.795673201</v>
      </c>
      <c r="AE19" s="9">
        <v>10672376.6149588</v>
      </c>
      <c r="AF19" s="9">
        <v>10533300.9333327</v>
      </c>
      <c r="AG19" s="9">
        <v>10994568.697486</v>
      </c>
    </row>
    <row r="20" spans="1:33" x14ac:dyDescent="0.25">
      <c r="A20" s="8">
        <v>18</v>
      </c>
      <c r="B20" s="5" t="s">
        <v>20</v>
      </c>
      <c r="C20" s="9">
        <v>47330.947785737699</v>
      </c>
      <c r="D20" s="9">
        <v>62079.2156365091</v>
      </c>
      <c r="E20" s="9">
        <v>72842.436304630493</v>
      </c>
      <c r="F20" s="9">
        <v>82671.641685674505</v>
      </c>
      <c r="G20" s="9">
        <v>103149.634773613</v>
      </c>
      <c r="H20" s="9">
        <v>138948.70552716899</v>
      </c>
      <c r="I20" s="9">
        <v>192204.38383426901</v>
      </c>
      <c r="J20" s="9">
        <v>264942.11400857201</v>
      </c>
      <c r="K20" s="9">
        <v>349167.2197214</v>
      </c>
      <c r="L20" s="9">
        <v>418693.44142107602</v>
      </c>
      <c r="M20" s="9">
        <v>475447.66196754202</v>
      </c>
      <c r="N20" s="9">
        <v>471532.10004788701</v>
      </c>
      <c r="O20" s="9">
        <v>477269.53043108498</v>
      </c>
      <c r="P20" s="9">
        <v>526826.77911206405</v>
      </c>
      <c r="Q20" s="9">
        <v>557779.83539260295</v>
      </c>
      <c r="R20" s="9">
        <v>590729.33858958399</v>
      </c>
      <c r="S20" s="9">
        <v>718065.39192968502</v>
      </c>
      <c r="T20" s="9">
        <v>879884.96836692002</v>
      </c>
      <c r="U20" s="9">
        <v>1045914.05414028</v>
      </c>
      <c r="V20" s="9">
        <v>1277365.6822959101</v>
      </c>
      <c r="W20" s="9">
        <v>1619889.1231018901</v>
      </c>
      <c r="X20" s="9">
        <v>1909142.3559459499</v>
      </c>
      <c r="Y20" s="9">
        <v>2079542.8383021699</v>
      </c>
      <c r="Z20" s="9">
        <v>2523486.6704286402</v>
      </c>
      <c r="AA20" s="9">
        <v>2983952.8862358499</v>
      </c>
      <c r="AB20" s="9">
        <v>3277770.4839974199</v>
      </c>
      <c r="AC20" s="9">
        <v>3474017.2968409099</v>
      </c>
      <c r="AD20" s="9">
        <v>3699664.71485744</v>
      </c>
      <c r="AE20" s="9">
        <v>3831454.1756894202</v>
      </c>
      <c r="AF20" s="9">
        <v>4038539.6684263898</v>
      </c>
      <c r="AG20" s="9">
        <v>4513601.2013379103</v>
      </c>
    </row>
    <row r="21" spans="1:33" x14ac:dyDescent="0.25">
      <c r="A21" s="8">
        <v>19</v>
      </c>
      <c r="B21" s="5" t="s">
        <v>21</v>
      </c>
      <c r="C21" s="9">
        <v>150519.18229419101</v>
      </c>
      <c r="D21" s="9">
        <v>192302.85816827699</v>
      </c>
      <c r="E21" s="9">
        <v>219728.731654167</v>
      </c>
      <c r="F21" s="9">
        <v>246198.51096526301</v>
      </c>
      <c r="G21" s="9">
        <v>301395.338002623</v>
      </c>
      <c r="H21" s="9">
        <v>398519.22827498597</v>
      </c>
      <c r="I21" s="9">
        <v>496961.28469081502</v>
      </c>
      <c r="J21" s="9">
        <v>614130.95784437598</v>
      </c>
      <c r="K21" s="9">
        <v>758178.695670043</v>
      </c>
      <c r="L21" s="9">
        <v>828549.09776408004</v>
      </c>
      <c r="M21" s="9">
        <v>853538.53871507396</v>
      </c>
      <c r="N21" s="9">
        <v>908284.28438995196</v>
      </c>
      <c r="O21" s="9">
        <v>986880.28407058597</v>
      </c>
      <c r="P21" s="9">
        <v>1075177.48740875</v>
      </c>
      <c r="Q21" s="9">
        <v>1172679.0651272901</v>
      </c>
      <c r="R21" s="9">
        <v>1280150.5339707199</v>
      </c>
      <c r="S21" s="9">
        <v>1554787.2399657399</v>
      </c>
      <c r="T21" s="9">
        <v>1903530.28268942</v>
      </c>
      <c r="U21" s="9">
        <v>2297664.6967356899</v>
      </c>
      <c r="V21" s="9">
        <v>2827138.1828546301</v>
      </c>
      <c r="W21" s="9">
        <v>3612662.2584180599</v>
      </c>
      <c r="X21" s="9">
        <v>4254531.0450374195</v>
      </c>
      <c r="Y21" s="9">
        <v>4630794.6033611</v>
      </c>
      <c r="Z21" s="9">
        <v>5638783.3705369802</v>
      </c>
      <c r="AA21" s="9">
        <v>6676680.4779633395</v>
      </c>
      <c r="AB21" s="9">
        <v>7343964.4179165298</v>
      </c>
      <c r="AC21" s="9">
        <v>7427663.5488396296</v>
      </c>
      <c r="AD21" s="9">
        <v>7545632.1248584297</v>
      </c>
      <c r="AE21" s="9">
        <v>7636614.5699947895</v>
      </c>
      <c r="AF21" s="9">
        <v>7769148.5166587802</v>
      </c>
      <c r="AG21" s="9">
        <v>8378612.1066841101</v>
      </c>
    </row>
    <row r="22" spans="1:33" x14ac:dyDescent="0.25">
      <c r="A22" s="8">
        <v>20</v>
      </c>
      <c r="B22" s="5" t="s">
        <v>22</v>
      </c>
      <c r="C22" s="9">
        <v>58265.284594077501</v>
      </c>
      <c r="D22" s="9">
        <v>73648.3591530618</v>
      </c>
      <c r="E22" s="9">
        <v>83213.138985521495</v>
      </c>
      <c r="F22" s="9">
        <v>93421.506037376006</v>
      </c>
      <c r="G22" s="9">
        <v>113838.213449441</v>
      </c>
      <c r="H22" s="9">
        <v>149826.82875218801</v>
      </c>
      <c r="I22" s="9">
        <v>210393.536986433</v>
      </c>
      <c r="J22" s="9">
        <v>294116.86937678501</v>
      </c>
      <c r="K22" s="9">
        <v>386072.411774621</v>
      </c>
      <c r="L22" s="9">
        <v>465099.44900650397</v>
      </c>
      <c r="M22" s="9">
        <v>530475.81042588898</v>
      </c>
      <c r="N22" s="9">
        <v>533192.27475643798</v>
      </c>
      <c r="O22" s="9">
        <v>547426.87140498403</v>
      </c>
      <c r="P22" s="9">
        <v>609918.70808192994</v>
      </c>
      <c r="Q22" s="9">
        <v>653827.88123983506</v>
      </c>
      <c r="R22" s="9">
        <v>701434.90974823001</v>
      </c>
      <c r="S22" s="9">
        <v>908559.493322519</v>
      </c>
      <c r="T22" s="9">
        <v>1183192.15115238</v>
      </c>
      <c r="U22" s="9">
        <v>1459789.4996780001</v>
      </c>
      <c r="V22" s="9">
        <v>1869704.02662526</v>
      </c>
      <c r="W22" s="9">
        <v>2484435.6537267999</v>
      </c>
      <c r="X22" s="9">
        <v>2902913.0139008202</v>
      </c>
      <c r="Y22" s="9">
        <v>3134881.5907356702</v>
      </c>
      <c r="Z22" s="9">
        <v>3876326.6183125</v>
      </c>
      <c r="AA22" s="9">
        <v>4606870.6439720998</v>
      </c>
      <c r="AB22" s="9">
        <v>5085996.4262471702</v>
      </c>
      <c r="AC22" s="9">
        <v>5246953.0451405104</v>
      </c>
      <c r="AD22" s="9">
        <v>5440785.6963219903</v>
      </c>
      <c r="AE22" s="9">
        <v>5574879.6573572401</v>
      </c>
      <c r="AF22" s="9">
        <v>5769247.7890273901</v>
      </c>
      <c r="AG22" s="9">
        <v>6331704.3520096904</v>
      </c>
    </row>
    <row r="23" spans="1:33" x14ac:dyDescent="0.25">
      <c r="A23" s="8">
        <v>21</v>
      </c>
      <c r="B23" s="5" t="s">
        <v>23</v>
      </c>
      <c r="C23" s="9">
        <v>38029.893335433801</v>
      </c>
      <c r="D23" s="9">
        <v>48436.529962872497</v>
      </c>
      <c r="E23" s="9">
        <v>55166.0577310312</v>
      </c>
      <c r="F23" s="9">
        <v>62143.442648337899</v>
      </c>
      <c r="G23" s="9">
        <v>76156.021246493896</v>
      </c>
      <c r="H23" s="9">
        <v>100802.78572821199</v>
      </c>
      <c r="I23" s="9">
        <v>153628.79425785199</v>
      </c>
      <c r="J23" s="9">
        <v>230296.75323831901</v>
      </c>
      <c r="K23" s="9">
        <v>312623.27702298301</v>
      </c>
      <c r="L23" s="9">
        <v>393561.352974337</v>
      </c>
      <c r="M23" s="9">
        <v>467156.21720998897</v>
      </c>
      <c r="N23" s="9">
        <v>584662.11306869099</v>
      </c>
      <c r="O23" s="9">
        <v>724462.54778025695</v>
      </c>
      <c r="P23" s="9">
        <v>884852.12769579398</v>
      </c>
      <c r="Q23" s="9">
        <v>1068535.01164045</v>
      </c>
      <c r="R23" s="9">
        <v>1278186.2070514599</v>
      </c>
      <c r="S23" s="9">
        <v>1535203.8236037199</v>
      </c>
      <c r="T23" s="9">
        <v>1858045.86673728</v>
      </c>
      <c r="U23" s="9">
        <v>2331898.40304719</v>
      </c>
      <c r="V23" s="9">
        <v>2908917.5014960398</v>
      </c>
      <c r="W23" s="9">
        <v>3768531.6953102802</v>
      </c>
      <c r="X23" s="9">
        <v>4267112.8140562298</v>
      </c>
      <c r="Y23" s="9">
        <v>4459918.8034809604</v>
      </c>
      <c r="Z23" s="9">
        <v>5357206.2354286704</v>
      </c>
      <c r="AA23" s="9">
        <v>6167438.71766466</v>
      </c>
      <c r="AB23" s="9">
        <v>6590956.4564523399</v>
      </c>
      <c r="AC23" s="9">
        <v>7232158.1157741398</v>
      </c>
      <c r="AD23" s="9">
        <v>7954369.3798415503</v>
      </c>
      <c r="AE23" s="9">
        <v>8262421.1636939598</v>
      </c>
      <c r="AF23" s="9">
        <v>8853402.9668384194</v>
      </c>
      <c r="AG23" s="9">
        <v>10051736.616310401</v>
      </c>
    </row>
    <row r="24" spans="1:33" x14ac:dyDescent="0.25">
      <c r="A24" s="8">
        <v>22</v>
      </c>
      <c r="B24" s="5" t="s">
        <v>24</v>
      </c>
      <c r="C24" s="9">
        <v>7708.4071357887096</v>
      </c>
      <c r="D24" s="9">
        <v>9982.2228714808207</v>
      </c>
      <c r="E24" s="9">
        <v>11564.8518698182</v>
      </c>
      <c r="F24" s="9">
        <v>12447.304160158599</v>
      </c>
      <c r="G24" s="9">
        <v>15035.584357281899</v>
      </c>
      <c r="H24" s="9">
        <v>19614.251569410801</v>
      </c>
      <c r="I24" s="9">
        <v>28688.909640600399</v>
      </c>
      <c r="J24" s="9">
        <v>41578.8776613624</v>
      </c>
      <c r="K24" s="9">
        <v>55290.973949157997</v>
      </c>
      <c r="L24" s="9">
        <v>68069.040950722905</v>
      </c>
      <c r="M24" s="9">
        <v>79211.887814382004</v>
      </c>
      <c r="N24" s="9">
        <v>90393.961703962603</v>
      </c>
      <c r="O24" s="9">
        <v>104433.49793388799</v>
      </c>
      <c r="P24" s="9">
        <v>123548.21642728899</v>
      </c>
      <c r="Q24" s="9">
        <v>143630.45822356199</v>
      </c>
      <c r="R24" s="9">
        <v>166382.966041126</v>
      </c>
      <c r="S24" s="9">
        <v>196731.71657940399</v>
      </c>
      <c r="T24" s="9">
        <v>234172.958603451</v>
      </c>
      <c r="U24" s="9">
        <v>287380.93958600803</v>
      </c>
      <c r="V24" s="9">
        <v>351502.532190428</v>
      </c>
      <c r="W24" s="9">
        <v>446444.69422560697</v>
      </c>
      <c r="X24" s="9">
        <v>507264.38244922098</v>
      </c>
      <c r="Y24" s="9">
        <v>532154.57926411298</v>
      </c>
      <c r="Z24" s="9">
        <v>633573.11980681599</v>
      </c>
      <c r="AA24" s="9">
        <v>727354.949213585</v>
      </c>
      <c r="AB24" s="9">
        <v>775000.06243911898</v>
      </c>
      <c r="AC24" s="9">
        <v>831277.25993006804</v>
      </c>
      <c r="AD24" s="9">
        <v>895382.74284836301</v>
      </c>
      <c r="AE24" s="9">
        <v>919021.96042981197</v>
      </c>
      <c r="AF24" s="9">
        <v>969812.15036602097</v>
      </c>
      <c r="AG24" s="9">
        <v>1085107.9095687801</v>
      </c>
    </row>
    <row r="25" spans="1:33" x14ac:dyDescent="0.25">
      <c r="A25" s="8">
        <v>23</v>
      </c>
      <c r="B25" s="5" t="s">
        <v>25</v>
      </c>
      <c r="C25" s="9">
        <v>39223.317969005002</v>
      </c>
      <c r="D25" s="9">
        <v>58220.928230203499</v>
      </c>
      <c r="E25" s="9">
        <v>76146.616145588006</v>
      </c>
      <c r="F25" s="9">
        <v>83642.275753085094</v>
      </c>
      <c r="G25" s="9">
        <v>107934.01887219099</v>
      </c>
      <c r="H25" s="9">
        <v>150011.00611381099</v>
      </c>
      <c r="I25" s="9">
        <v>205282.10083024399</v>
      </c>
      <c r="J25" s="9">
        <v>280064.44581927703</v>
      </c>
      <c r="K25" s="9">
        <v>372612.68229721498</v>
      </c>
      <c r="L25" s="9">
        <v>446633.42847283097</v>
      </c>
      <c r="M25" s="9">
        <v>506986.48841346498</v>
      </c>
      <c r="N25" s="9">
        <v>560888.91892440501</v>
      </c>
      <c r="O25" s="9">
        <v>631215.28490157495</v>
      </c>
      <c r="P25" s="9">
        <v>731695.07944203599</v>
      </c>
      <c r="Q25" s="9">
        <v>834402.23026367102</v>
      </c>
      <c r="R25" s="9">
        <v>950137.08518905996</v>
      </c>
      <c r="S25" s="9">
        <v>1177166.69680715</v>
      </c>
      <c r="T25" s="9">
        <v>1470213.9475693901</v>
      </c>
      <c r="U25" s="9">
        <v>1828082.9140230401</v>
      </c>
      <c r="V25" s="9">
        <v>2304879.4901094902</v>
      </c>
      <c r="W25" s="9">
        <v>3017226.00330813</v>
      </c>
      <c r="X25" s="9">
        <v>3596543.8663563598</v>
      </c>
      <c r="Y25" s="9">
        <v>3961294.2227394502</v>
      </c>
      <c r="Z25" s="9">
        <v>4908409.48137083</v>
      </c>
      <c r="AA25" s="9">
        <v>5895408.5221043602</v>
      </c>
      <c r="AB25" s="9">
        <v>6576240.7527828002</v>
      </c>
      <c r="AC25" s="9">
        <v>6955679.9496812802</v>
      </c>
      <c r="AD25" s="9">
        <v>7392837.1036919001</v>
      </c>
      <c r="AE25" s="9">
        <v>7704659.2571443003</v>
      </c>
      <c r="AF25" s="9">
        <v>8137901.1264672298</v>
      </c>
      <c r="AG25" s="9">
        <v>9113446.4591273107</v>
      </c>
    </row>
    <row r="26" spans="1:33" x14ac:dyDescent="0.25">
      <c r="A26" s="8">
        <v>24</v>
      </c>
      <c r="B26" s="5" t="s">
        <v>26</v>
      </c>
      <c r="C26" s="9">
        <v>31832.4821069313</v>
      </c>
      <c r="D26" s="9">
        <v>47584.520570577501</v>
      </c>
      <c r="E26" s="9">
        <v>62576.615395342</v>
      </c>
      <c r="F26" s="9">
        <v>74196.401084921294</v>
      </c>
      <c r="G26" s="9">
        <v>98908.613260347003</v>
      </c>
      <c r="H26" s="9">
        <v>141420.029967496</v>
      </c>
      <c r="I26" s="9">
        <v>179878.24527581001</v>
      </c>
      <c r="J26" s="9">
        <v>227393.574882179</v>
      </c>
      <c r="K26" s="9">
        <v>296641.64911229297</v>
      </c>
      <c r="L26" s="9">
        <v>338915.78005469998</v>
      </c>
      <c r="M26" s="9">
        <v>366662.144357001</v>
      </c>
      <c r="N26" s="9">
        <v>361996.52834809298</v>
      </c>
      <c r="O26" s="9">
        <v>364601.49174775701</v>
      </c>
      <c r="P26" s="9">
        <v>390745.48620153702</v>
      </c>
      <c r="Q26" s="9">
        <v>405913.48733054899</v>
      </c>
      <c r="R26" s="9">
        <v>421224.55599235801</v>
      </c>
      <c r="S26" s="9">
        <v>522732.92021970201</v>
      </c>
      <c r="T26" s="9">
        <v>653917.01725902001</v>
      </c>
      <c r="U26" s="9">
        <v>777731.81265415496</v>
      </c>
      <c r="V26" s="9">
        <v>960239.71479536395</v>
      </c>
      <c r="W26" s="9">
        <v>1231301.9092983899</v>
      </c>
      <c r="X26" s="9">
        <v>1349162.85179977</v>
      </c>
      <c r="Y26" s="9">
        <v>1359553.94096973</v>
      </c>
      <c r="Z26" s="9">
        <v>1591775.54869034</v>
      </c>
      <c r="AA26" s="9">
        <v>1769004.72936019</v>
      </c>
      <c r="AB26" s="9">
        <v>1818829.31825757</v>
      </c>
      <c r="AC26" s="9">
        <v>1973264.07514227</v>
      </c>
      <c r="AD26" s="9">
        <v>2148055.7739113602</v>
      </c>
      <c r="AE26" s="9">
        <v>2178815.8864083998</v>
      </c>
      <c r="AF26" s="9">
        <v>2297852.6888754601</v>
      </c>
      <c r="AG26" s="9">
        <v>2569538.2963263602</v>
      </c>
    </row>
    <row r="27" spans="1:33" x14ac:dyDescent="0.25">
      <c r="A27" s="8">
        <v>25</v>
      </c>
      <c r="B27" s="5" t="s">
        <v>27</v>
      </c>
      <c r="C27" s="9">
        <v>43616.380737103202</v>
      </c>
      <c r="D27" s="9">
        <v>58981.560568777197</v>
      </c>
      <c r="E27" s="9">
        <v>71256.431061520896</v>
      </c>
      <c r="F27" s="9">
        <v>78178.612382110499</v>
      </c>
      <c r="G27" s="9">
        <v>97282.0239898242</v>
      </c>
      <c r="H27" s="9">
        <v>130661.191388258</v>
      </c>
      <c r="I27" s="9">
        <v>178023.49268575601</v>
      </c>
      <c r="J27" s="9">
        <v>241675.89510339699</v>
      </c>
      <c r="K27" s="9">
        <v>316433.77831223502</v>
      </c>
      <c r="L27" s="9">
        <v>375723.12188031402</v>
      </c>
      <c r="M27" s="9">
        <v>422755.26359092601</v>
      </c>
      <c r="N27" s="9">
        <v>485893.36273764499</v>
      </c>
      <c r="O27" s="9">
        <v>561524.75206208602</v>
      </c>
      <c r="P27" s="9">
        <v>656549.37280953606</v>
      </c>
      <c r="Q27" s="9">
        <v>757741.167616616</v>
      </c>
      <c r="R27" s="9">
        <v>870873.01032388699</v>
      </c>
      <c r="S27" s="9">
        <v>1084766.5610274901</v>
      </c>
      <c r="T27" s="9">
        <v>1530586.07191419</v>
      </c>
      <c r="U27" s="9">
        <v>1909161.49332927</v>
      </c>
      <c r="V27" s="9">
        <v>2518726.1988011799</v>
      </c>
      <c r="W27" s="9">
        <v>3423148.5828142101</v>
      </c>
      <c r="X27" s="9">
        <v>2844598.2382871401</v>
      </c>
      <c r="Y27" s="9">
        <v>2939460.8103341199</v>
      </c>
      <c r="Z27" s="9">
        <v>3537853.8952959902</v>
      </c>
      <c r="AA27" s="9">
        <v>4618177.5144176297</v>
      </c>
      <c r="AB27" s="9">
        <v>5349312.2960732896</v>
      </c>
      <c r="AC27" s="9">
        <v>5391475.5926870303</v>
      </c>
      <c r="AD27" s="9">
        <v>5028716.85284035</v>
      </c>
      <c r="AE27" s="9">
        <v>4999320.4745719396</v>
      </c>
      <c r="AF27" s="9">
        <v>4938411.5561815798</v>
      </c>
      <c r="AG27" s="9">
        <v>5231280.3716228101</v>
      </c>
    </row>
    <row r="28" spans="1:33" x14ac:dyDescent="0.25">
      <c r="A28" s="8">
        <v>26</v>
      </c>
      <c r="B28" s="5" t="s">
        <v>28</v>
      </c>
      <c r="C28" s="9">
        <v>233302.68932453901</v>
      </c>
      <c r="D28" s="9">
        <v>282407.44850967597</v>
      </c>
      <c r="E28" s="9">
        <v>275653.111850049</v>
      </c>
      <c r="F28" s="9">
        <v>295429.07957341702</v>
      </c>
      <c r="G28" s="9">
        <v>346406.64317254</v>
      </c>
      <c r="H28" s="9">
        <v>479185.57522417</v>
      </c>
      <c r="I28" s="9">
        <v>774026.58396445902</v>
      </c>
      <c r="J28" s="9">
        <v>1021542.14376608</v>
      </c>
      <c r="K28" s="9">
        <v>1285908.93489526</v>
      </c>
      <c r="L28" s="9">
        <v>1520579.22609273</v>
      </c>
      <c r="M28" s="9">
        <v>1610116.77599097</v>
      </c>
      <c r="N28" s="9">
        <v>1818609.8026424099</v>
      </c>
      <c r="O28" s="9">
        <v>1980091.33939929</v>
      </c>
      <c r="P28" s="9">
        <v>2174688.7314900202</v>
      </c>
      <c r="Q28" s="9">
        <v>2432347.8273616</v>
      </c>
      <c r="R28" s="9">
        <v>2765447.9050070401</v>
      </c>
      <c r="S28" s="9">
        <v>3180450.3034714302</v>
      </c>
      <c r="T28" s="9">
        <v>3654373.5450602099</v>
      </c>
      <c r="U28" s="9">
        <v>4448940.4451479698</v>
      </c>
      <c r="V28" s="9">
        <v>5352935.6494805096</v>
      </c>
      <c r="W28" s="9">
        <v>6632834.4195911698</v>
      </c>
      <c r="X28" s="9">
        <v>7829194.9989073696</v>
      </c>
      <c r="Y28" s="9">
        <v>9107076.7005738504</v>
      </c>
      <c r="Z28" s="9">
        <v>10779826.312929999</v>
      </c>
      <c r="AA28" s="9">
        <v>12703225.507422</v>
      </c>
      <c r="AB28" s="9">
        <v>13895652.1792394</v>
      </c>
      <c r="AC28" s="9">
        <v>15852247.4619081</v>
      </c>
      <c r="AD28" s="9">
        <v>17919789.223199401</v>
      </c>
      <c r="AE28" s="9">
        <v>18662109.675301298</v>
      </c>
      <c r="AF28" s="9">
        <v>20222793.0844271</v>
      </c>
      <c r="AG28" s="9">
        <v>22884708.300932001</v>
      </c>
    </row>
    <row r="29" spans="1:33" x14ac:dyDescent="0.25">
      <c r="A29" s="8">
        <v>27</v>
      </c>
      <c r="B29" s="5" t="s">
        <v>29</v>
      </c>
      <c r="C29" s="9">
        <v>178943.832967275</v>
      </c>
      <c r="D29" s="9">
        <v>265930.16052023001</v>
      </c>
      <c r="E29" s="9">
        <v>300884.701595666</v>
      </c>
      <c r="F29" s="9">
        <v>265501.93079348601</v>
      </c>
      <c r="G29" s="9">
        <v>403040.39209553099</v>
      </c>
      <c r="H29" s="9">
        <v>554332.724290182</v>
      </c>
      <c r="I29" s="9">
        <v>623265.834392683</v>
      </c>
      <c r="J29" s="9">
        <v>804344.98043835198</v>
      </c>
      <c r="K29" s="9">
        <v>1004420.50329267</v>
      </c>
      <c r="L29" s="9">
        <v>1136259.9182589101</v>
      </c>
      <c r="M29" s="9">
        <v>1259799.2560138099</v>
      </c>
      <c r="N29" s="9">
        <v>1356415.1046523801</v>
      </c>
      <c r="O29" s="9">
        <v>1435030.17063827</v>
      </c>
      <c r="P29" s="9">
        <v>1528156.5602652701</v>
      </c>
      <c r="Q29" s="9">
        <v>1664992.40310161</v>
      </c>
      <c r="R29" s="9">
        <v>1791157.5790981699</v>
      </c>
      <c r="S29" s="9">
        <v>1970952.30834719</v>
      </c>
      <c r="T29" s="9">
        <v>2175872.1060178201</v>
      </c>
      <c r="U29" s="9">
        <v>2393488.1636310001</v>
      </c>
      <c r="V29" s="9">
        <v>2746932.2988816798</v>
      </c>
      <c r="W29" s="9">
        <v>3334864.1213344899</v>
      </c>
      <c r="X29" s="9">
        <v>4111664.24545416</v>
      </c>
      <c r="Y29" s="9">
        <v>4489672.7248184597</v>
      </c>
      <c r="Z29" s="9">
        <v>5379195.1577409804</v>
      </c>
      <c r="AA29" s="9">
        <v>6401384.9515230404</v>
      </c>
      <c r="AB29" s="9">
        <v>7215530.0078453403</v>
      </c>
      <c r="AC29" s="9">
        <v>8195824.5782911098</v>
      </c>
      <c r="AD29" s="9">
        <v>9196035.5091670603</v>
      </c>
      <c r="AE29" s="9">
        <v>9822186.6494354997</v>
      </c>
      <c r="AF29" s="9">
        <v>10706578.377804101</v>
      </c>
      <c r="AG29" s="9">
        <v>11784033.565875201</v>
      </c>
    </row>
    <row r="30" spans="1:33" x14ac:dyDescent="0.25">
      <c r="A30" s="8">
        <v>28</v>
      </c>
      <c r="B30" s="5" t="s">
        <v>30</v>
      </c>
      <c r="C30" s="9">
        <v>53827.973768298798</v>
      </c>
      <c r="D30" s="9">
        <v>71627.507883168902</v>
      </c>
      <c r="E30" s="9">
        <v>72023.010438345693</v>
      </c>
      <c r="F30" s="9">
        <v>57207.707925997704</v>
      </c>
      <c r="G30" s="9">
        <v>76662.700162381501</v>
      </c>
      <c r="H30" s="9">
        <v>92008.342778805803</v>
      </c>
      <c r="I30" s="9">
        <v>123171.601878249</v>
      </c>
      <c r="J30" s="9">
        <v>185828.45882329901</v>
      </c>
      <c r="K30" s="9">
        <v>236022.184011192</v>
      </c>
      <c r="L30" s="9">
        <v>289236.86111272301</v>
      </c>
      <c r="M30" s="9">
        <v>346129.84819049801</v>
      </c>
      <c r="N30" s="9">
        <v>409838.98331036099</v>
      </c>
      <c r="O30" s="9">
        <v>474637.565444712</v>
      </c>
      <c r="P30" s="9">
        <v>545642.69082217698</v>
      </c>
      <c r="Q30" s="9">
        <v>643168.04079615395</v>
      </c>
      <c r="R30" s="9">
        <v>746563.76478692598</v>
      </c>
      <c r="S30" s="9">
        <v>851197.90624256094</v>
      </c>
      <c r="T30" s="9">
        <v>973183.73195783398</v>
      </c>
      <c r="U30" s="9">
        <v>1129049.6779900501</v>
      </c>
      <c r="V30" s="9">
        <v>1352818.9672536801</v>
      </c>
      <c r="W30" s="9">
        <v>1713600.7875930001</v>
      </c>
      <c r="X30" s="9">
        <v>1875910.52808192</v>
      </c>
      <c r="Y30" s="9">
        <v>1808714.4744057599</v>
      </c>
      <c r="Z30" s="9">
        <v>2079823.53741863</v>
      </c>
      <c r="AA30" s="9">
        <v>2267877.4830103102</v>
      </c>
      <c r="AB30" s="9">
        <v>2333447.78643372</v>
      </c>
      <c r="AC30" s="9">
        <v>2723079.1013171002</v>
      </c>
      <c r="AD30" s="9">
        <v>3137972.2987452401</v>
      </c>
      <c r="AE30" s="9">
        <v>3244652.9691250799</v>
      </c>
      <c r="AF30" s="9">
        <v>3526584.2981258798</v>
      </c>
      <c r="AG30" s="9">
        <v>3870251.6198049798</v>
      </c>
    </row>
    <row r="31" spans="1:33" x14ac:dyDescent="0.25">
      <c r="A31" s="8">
        <v>29</v>
      </c>
      <c r="B31" s="5" t="s">
        <v>31</v>
      </c>
      <c r="C31" s="9">
        <v>87745.0706804113</v>
      </c>
      <c r="D31" s="9">
        <v>108577.02809202801</v>
      </c>
      <c r="E31" s="9">
        <v>133531.47118233101</v>
      </c>
      <c r="F31" s="9">
        <v>192173.55953719001</v>
      </c>
      <c r="G31" s="9">
        <v>239695.51267496499</v>
      </c>
      <c r="H31" s="9">
        <v>292892.80998319999</v>
      </c>
      <c r="I31" s="9">
        <v>362220.610220759</v>
      </c>
      <c r="J31" s="9">
        <v>446384.36693192</v>
      </c>
      <c r="K31" s="9">
        <v>517305.404844912</v>
      </c>
      <c r="L31" s="9">
        <v>586378.53435624298</v>
      </c>
      <c r="M31" s="9">
        <v>632387.26799209299</v>
      </c>
      <c r="N31" s="9">
        <v>749387.89700173703</v>
      </c>
      <c r="O31" s="9">
        <v>877536.90758932696</v>
      </c>
      <c r="P31" s="9">
        <v>1050721.12959916</v>
      </c>
      <c r="Q31" s="9">
        <v>1222326.4517527199</v>
      </c>
      <c r="R31" s="9">
        <v>1391349.8424450001</v>
      </c>
      <c r="S31" s="9">
        <v>1551782.0450391099</v>
      </c>
      <c r="T31" s="9">
        <v>1880942.4009445601</v>
      </c>
      <c r="U31" s="9">
        <v>2200799.7662543398</v>
      </c>
      <c r="V31" s="9">
        <v>2557014.95567396</v>
      </c>
      <c r="W31" s="9">
        <v>3098389.2319157901</v>
      </c>
      <c r="X31" s="9">
        <v>3608118.8422981598</v>
      </c>
      <c r="Y31" s="9">
        <v>3774676.4811186902</v>
      </c>
      <c r="Z31" s="9">
        <v>4342371.53692606</v>
      </c>
      <c r="AA31" s="9">
        <v>5172838.1349472096</v>
      </c>
      <c r="AB31" s="9">
        <v>5900961.1380220596</v>
      </c>
      <c r="AC31" s="9">
        <v>6005621.1843709201</v>
      </c>
      <c r="AD31" s="9">
        <v>6141160.4424362304</v>
      </c>
      <c r="AE31" s="9">
        <v>6550675.6535831504</v>
      </c>
      <c r="AF31" s="9">
        <v>6904024.7824327899</v>
      </c>
      <c r="AG31" s="9">
        <v>7512764.9473769097</v>
      </c>
    </row>
    <row r="32" spans="1:33" x14ac:dyDescent="0.25">
      <c r="A32" s="8">
        <v>30</v>
      </c>
      <c r="B32" s="5" t="s">
        <v>32</v>
      </c>
      <c r="C32" s="9">
        <v>5415.0404427694502</v>
      </c>
      <c r="D32" s="9">
        <v>7278.26761355689</v>
      </c>
      <c r="E32" s="9">
        <v>9668.5715552619495</v>
      </c>
      <c r="F32" s="9">
        <v>14653.6832713819</v>
      </c>
      <c r="G32" s="9">
        <v>19396.6156181636</v>
      </c>
      <c r="H32" s="9">
        <v>25081.0417307727</v>
      </c>
      <c r="I32" s="9">
        <v>53105.869440010501</v>
      </c>
      <c r="J32" s="9">
        <v>95905.630064940997</v>
      </c>
      <c r="K32" s="9">
        <v>132048.623656435</v>
      </c>
      <c r="L32" s="9">
        <v>186288.52398642001</v>
      </c>
      <c r="M32" s="9">
        <v>244518.37297211101</v>
      </c>
      <c r="N32" s="9">
        <v>283604.72854686697</v>
      </c>
      <c r="O32" s="9">
        <v>324982.14151657902</v>
      </c>
      <c r="P32" s="9">
        <v>422890.33948910801</v>
      </c>
      <c r="Q32" s="9">
        <v>507029.64543419</v>
      </c>
      <c r="R32" s="9">
        <v>594602.52362473996</v>
      </c>
      <c r="S32" s="9">
        <v>622673.45936238905</v>
      </c>
      <c r="T32" s="9">
        <v>707436.05532587203</v>
      </c>
      <c r="U32" s="9">
        <v>813567.858742718</v>
      </c>
      <c r="V32" s="9">
        <v>906207.00105119497</v>
      </c>
      <c r="W32" s="9">
        <v>1051804.5958835999</v>
      </c>
      <c r="X32" s="9">
        <v>1338101.88928137</v>
      </c>
      <c r="Y32" s="9">
        <v>1524046.6619568099</v>
      </c>
      <c r="Z32" s="9">
        <v>1791418.9755222399</v>
      </c>
      <c r="AA32" s="9">
        <v>2246832.2813043199</v>
      </c>
      <c r="AB32" s="9">
        <v>2695818.1036893101</v>
      </c>
      <c r="AC32" s="9">
        <v>3014562.66126954</v>
      </c>
      <c r="AD32" s="9">
        <v>3377349.7717846502</v>
      </c>
      <c r="AE32" s="9">
        <v>3855639.6591339</v>
      </c>
      <c r="AF32" s="9">
        <v>4389303.9506677203</v>
      </c>
      <c r="AG32" s="9">
        <v>5152413.3775932202</v>
      </c>
    </row>
    <row r="33" spans="1:33" x14ac:dyDescent="0.25">
      <c r="A33" s="8">
        <v>31</v>
      </c>
      <c r="B33" s="5" t="s">
        <v>33</v>
      </c>
      <c r="C33" s="9">
        <v>55769.080594631203</v>
      </c>
      <c r="D33" s="9">
        <v>74536.952627674298</v>
      </c>
      <c r="E33" s="9">
        <v>109465.82934379</v>
      </c>
      <c r="F33" s="9">
        <v>125651.63771495</v>
      </c>
      <c r="G33" s="9">
        <v>146919.92153327799</v>
      </c>
      <c r="H33" s="9">
        <v>202129.81610726699</v>
      </c>
      <c r="I33" s="9">
        <v>239311.24234221</v>
      </c>
      <c r="J33" s="9">
        <v>336936.04077807599</v>
      </c>
      <c r="K33" s="9">
        <v>427388.48277485999</v>
      </c>
      <c r="L33" s="9">
        <v>483020.082364303</v>
      </c>
      <c r="M33" s="9">
        <v>549207.83570822002</v>
      </c>
      <c r="N33" s="9">
        <v>583318.57293756201</v>
      </c>
      <c r="O33" s="9">
        <v>599545.88768705004</v>
      </c>
      <c r="P33" s="9">
        <v>641377.76856619294</v>
      </c>
      <c r="Q33" s="9">
        <v>700619.41466005403</v>
      </c>
      <c r="R33" s="9">
        <v>739256.73812982603</v>
      </c>
      <c r="S33" s="9">
        <v>901235.05586724903</v>
      </c>
      <c r="T33" s="9">
        <v>1033102.72002137</v>
      </c>
      <c r="U33" s="9">
        <v>1298025.6178854301</v>
      </c>
      <c r="V33" s="9">
        <v>1634530.12712032</v>
      </c>
      <c r="W33" s="9">
        <v>2238553.37751996</v>
      </c>
      <c r="X33" s="9">
        <v>2667260.8171731899</v>
      </c>
      <c r="Y33" s="9">
        <v>3333781.7641307702</v>
      </c>
      <c r="Z33" s="9">
        <v>4136582.6636944502</v>
      </c>
      <c r="AA33" s="9">
        <v>5091004.1107351501</v>
      </c>
      <c r="AB33" s="9">
        <v>5983566.7521693502</v>
      </c>
      <c r="AC33" s="9">
        <v>6667952.09694051</v>
      </c>
      <c r="AD33" s="9">
        <v>7121571.3143517599</v>
      </c>
      <c r="AE33" s="9">
        <v>8208047.5620591296</v>
      </c>
      <c r="AF33" s="9">
        <v>8914032.5973266307</v>
      </c>
      <c r="AG33" s="9">
        <v>9668079.3499287795</v>
      </c>
    </row>
    <row r="34" spans="1:33" x14ac:dyDescent="0.25">
      <c r="A34" s="8">
        <v>32</v>
      </c>
      <c r="B34" s="5" t="s">
        <v>34</v>
      </c>
      <c r="C34" s="9">
        <v>25193.7404351761</v>
      </c>
      <c r="D34" s="9">
        <v>32747.3425725407</v>
      </c>
      <c r="E34" s="9">
        <v>46808.901923124598</v>
      </c>
      <c r="F34" s="9">
        <v>53091.287112592203</v>
      </c>
      <c r="G34" s="9">
        <v>60946.6202040274</v>
      </c>
      <c r="H34" s="9">
        <v>82378.244489615201</v>
      </c>
      <c r="I34" s="9">
        <v>103538.717809041</v>
      </c>
      <c r="J34" s="9">
        <v>155266.21575510001</v>
      </c>
      <c r="K34" s="9">
        <v>201354.55979557801</v>
      </c>
      <c r="L34" s="9">
        <v>237977.76698067001</v>
      </c>
      <c r="M34" s="9">
        <v>283420.946445568</v>
      </c>
      <c r="N34" s="9">
        <v>359529.34307385801</v>
      </c>
      <c r="O34" s="9">
        <v>433209.81537770398</v>
      </c>
      <c r="P34" s="9">
        <v>511483.85722018301</v>
      </c>
      <c r="Q34" s="9">
        <v>628976.05615812098</v>
      </c>
      <c r="R34" s="9">
        <v>743275.58350318798</v>
      </c>
      <c r="S34" s="9">
        <v>819296.56046644901</v>
      </c>
      <c r="T34" s="9">
        <v>850217.00980815501</v>
      </c>
      <c r="U34" s="9">
        <v>1076104.8061027499</v>
      </c>
      <c r="V34" s="9">
        <v>1295610.5989981401</v>
      </c>
      <c r="W34" s="9">
        <v>1697743.5377843101</v>
      </c>
      <c r="X34" s="9">
        <v>2011046.4705790801</v>
      </c>
      <c r="Y34" s="9">
        <v>2499010.1972554699</v>
      </c>
      <c r="Z34" s="9">
        <v>3025965.6971195</v>
      </c>
      <c r="AA34" s="9">
        <v>3669075.5378171201</v>
      </c>
      <c r="AB34" s="9">
        <v>4249202.2128280904</v>
      </c>
      <c r="AC34" s="9">
        <v>4933462.5675230697</v>
      </c>
      <c r="AD34" s="9">
        <v>5496388.6024994096</v>
      </c>
      <c r="AE34" s="9">
        <v>6422539.5550568402</v>
      </c>
      <c r="AF34" s="9">
        <v>7179147.6276526796</v>
      </c>
      <c r="AG34" s="9">
        <v>8019370.1173868002</v>
      </c>
    </row>
    <row r="35" spans="1:33" x14ac:dyDescent="0.25">
      <c r="A35" s="8">
        <v>33</v>
      </c>
      <c r="B35" s="5" t="s">
        <v>35</v>
      </c>
      <c r="C35" s="9">
        <v>40234.499115202801</v>
      </c>
      <c r="D35" s="9">
        <v>49430.288972544702</v>
      </c>
      <c r="E35" s="9">
        <v>66561.265406840001</v>
      </c>
      <c r="F35" s="9">
        <v>70391.242534969497</v>
      </c>
      <c r="G35" s="9">
        <v>75380.837117687595</v>
      </c>
      <c r="H35" s="9">
        <v>94701.332422719599</v>
      </c>
      <c r="I35" s="9">
        <v>110418.845950496</v>
      </c>
      <c r="J35" s="9">
        <v>152773.439805167</v>
      </c>
      <c r="K35" s="9">
        <v>181497.65987359799</v>
      </c>
      <c r="L35" s="9">
        <v>195179.55295603999</v>
      </c>
      <c r="M35" s="9">
        <v>209671.46057361201</v>
      </c>
      <c r="N35" s="9">
        <v>305820.750202108</v>
      </c>
      <c r="O35" s="9">
        <v>404805.64581648301</v>
      </c>
      <c r="P35" s="9">
        <v>480922.97844728699</v>
      </c>
      <c r="Q35" s="9">
        <v>612822.52804817003</v>
      </c>
      <c r="R35" s="9">
        <v>745758.31862437795</v>
      </c>
      <c r="S35" s="9">
        <v>836965.46924132598</v>
      </c>
      <c r="T35" s="9">
        <v>885470.88618306397</v>
      </c>
      <c r="U35" s="9">
        <v>1145616.5225993299</v>
      </c>
      <c r="V35" s="9">
        <v>1408360.9387020499</v>
      </c>
      <c r="W35" s="9">
        <v>1884662.8036140699</v>
      </c>
      <c r="X35" s="9">
        <v>2372930.7534514898</v>
      </c>
      <c r="Y35" s="9">
        <v>3122746.9160853601</v>
      </c>
      <c r="Z35" s="9">
        <v>3925706.5070943502</v>
      </c>
      <c r="AA35" s="9">
        <v>4977018.2139648702</v>
      </c>
      <c r="AB35" s="9">
        <v>6016496.90261064</v>
      </c>
      <c r="AC35" s="9">
        <v>7105308.5622691903</v>
      </c>
      <c r="AD35" s="9">
        <v>8048064.3018392604</v>
      </c>
      <c r="AE35" s="9">
        <v>9669742.1340278201</v>
      </c>
      <c r="AF35" s="9">
        <v>11040756.0261763</v>
      </c>
      <c r="AG35" s="9">
        <v>12589901.7108976</v>
      </c>
    </row>
    <row r="36" spans="1:33" x14ac:dyDescent="0.25">
      <c r="A36" s="8">
        <v>34</v>
      </c>
      <c r="B36" s="5" t="s">
        <v>36</v>
      </c>
      <c r="C36" s="9">
        <v>37264.600331727299</v>
      </c>
      <c r="D36" s="9">
        <v>57350.731095876203</v>
      </c>
      <c r="E36" s="9">
        <v>82104.089183035394</v>
      </c>
      <c r="F36" s="9">
        <v>100891.892039817</v>
      </c>
      <c r="G36" s="9">
        <v>142164.571933567</v>
      </c>
      <c r="H36" s="9">
        <v>200718.110125304</v>
      </c>
      <c r="I36" s="9">
        <v>280041.87733096798</v>
      </c>
      <c r="J36" s="9">
        <v>323117.19896490802</v>
      </c>
      <c r="K36" s="9">
        <v>406613.71603991999</v>
      </c>
      <c r="L36" s="9">
        <v>477789.91692002199</v>
      </c>
      <c r="M36" s="9">
        <v>568743.99784156901</v>
      </c>
      <c r="N36" s="9">
        <v>626474.62688554998</v>
      </c>
      <c r="O36" s="9">
        <v>678281.19550737098</v>
      </c>
      <c r="P36" s="9">
        <v>784307.98477294005</v>
      </c>
      <c r="Q36" s="9">
        <v>873253.26792305801</v>
      </c>
      <c r="R36" s="9">
        <v>975244.76971750299</v>
      </c>
      <c r="S36" s="9">
        <v>1052465.0556000001</v>
      </c>
      <c r="T36" s="9">
        <v>1183200.6808027399</v>
      </c>
      <c r="U36" s="9">
        <v>1343729.18239219</v>
      </c>
      <c r="V36" s="9">
        <v>1520878.2981952799</v>
      </c>
      <c r="W36" s="9">
        <v>1799274.5961473901</v>
      </c>
      <c r="X36" s="9">
        <v>2146767.9346870701</v>
      </c>
      <c r="Y36" s="9">
        <v>2382844.9429045198</v>
      </c>
      <c r="Z36" s="9">
        <v>2600774.7576472899</v>
      </c>
      <c r="AA36" s="9">
        <v>3018840.4643266299</v>
      </c>
      <c r="AB36" s="9">
        <v>3379595.8405132899</v>
      </c>
      <c r="AC36" s="9">
        <v>3801101.1895701201</v>
      </c>
      <c r="AD36" s="9">
        <v>4204058.3528843103</v>
      </c>
      <c r="AE36" s="9">
        <v>4776029.7821303904</v>
      </c>
      <c r="AF36" s="9">
        <v>5367567.36531574</v>
      </c>
      <c r="AG36" s="9">
        <v>5934849.3536815103</v>
      </c>
    </row>
    <row r="37" spans="1:33" x14ac:dyDescent="0.25">
      <c r="A37" s="8">
        <v>35</v>
      </c>
      <c r="B37" s="5" t="s">
        <v>37</v>
      </c>
      <c r="C37" s="9">
        <v>41975.509976818299</v>
      </c>
      <c r="D37" s="9">
        <v>48112.863009970497</v>
      </c>
      <c r="E37" s="9">
        <v>51311.716052545002</v>
      </c>
      <c r="F37" s="9">
        <v>54205.743109621202</v>
      </c>
      <c r="G37" s="9">
        <v>60257.035868103703</v>
      </c>
      <c r="H37" s="9">
        <v>65788.696789862894</v>
      </c>
      <c r="I37" s="9">
        <v>110498.081005741</v>
      </c>
      <c r="J37" s="9">
        <v>151739.86336687399</v>
      </c>
      <c r="K37" s="9">
        <v>184485.19459028801</v>
      </c>
      <c r="L37" s="9">
        <v>231966.59990970301</v>
      </c>
      <c r="M37" s="9">
        <v>295132.50450680603</v>
      </c>
      <c r="N37" s="9">
        <v>339909.35822578601</v>
      </c>
      <c r="O37" s="9">
        <v>384500.15462748602</v>
      </c>
      <c r="P37" s="9">
        <v>469056.87765007297</v>
      </c>
      <c r="Q37" s="9">
        <v>547741.81849407603</v>
      </c>
      <c r="R37" s="9">
        <v>641194.88391695498</v>
      </c>
      <c r="S37" s="9">
        <v>721660.28827909101</v>
      </c>
      <c r="T37" s="9">
        <v>847519.06416631304</v>
      </c>
      <c r="U37" s="9">
        <v>1008544.9449709899</v>
      </c>
      <c r="V37" s="9">
        <v>1196647.24229259</v>
      </c>
      <c r="W37" s="9">
        <v>1486261.5306083199</v>
      </c>
      <c r="X37" s="9">
        <v>1659126.0050258299</v>
      </c>
      <c r="Y37" s="9">
        <v>1723463.86624585</v>
      </c>
      <c r="Z37" s="9">
        <v>1863171.1885722801</v>
      </c>
      <c r="AA37" s="9">
        <v>2081480.55789236</v>
      </c>
      <c r="AB37" s="9">
        <v>2242149.3099813899</v>
      </c>
      <c r="AC37" s="9">
        <v>2557327.17564689</v>
      </c>
      <c r="AD37" s="9">
        <v>2869324.5575337601</v>
      </c>
      <c r="AE37" s="9">
        <v>3218837.2503112298</v>
      </c>
      <c r="AF37" s="9">
        <v>3620756.64388848</v>
      </c>
      <c r="AG37" s="9">
        <v>4007097.5461106501</v>
      </c>
    </row>
    <row r="38" spans="1:33" x14ac:dyDescent="0.25">
      <c r="A38" s="8">
        <v>36</v>
      </c>
      <c r="B38" s="5" t="s">
        <v>38</v>
      </c>
      <c r="C38" s="9">
        <v>24475.433994732601</v>
      </c>
      <c r="D38" s="9">
        <v>30750.468225932302</v>
      </c>
      <c r="E38" s="9">
        <v>36652.411612868797</v>
      </c>
      <c r="F38" s="9">
        <v>41327.538938002101</v>
      </c>
      <c r="G38" s="9">
        <v>51469.280502895199</v>
      </c>
      <c r="H38" s="9">
        <v>64576.349537508802</v>
      </c>
      <c r="I38" s="9">
        <v>98172.621087656997</v>
      </c>
      <c r="J38" s="9">
        <v>123738.3105142</v>
      </c>
      <c r="K38" s="9">
        <v>153164.55443406099</v>
      </c>
      <c r="L38" s="9">
        <v>186683.841411931</v>
      </c>
      <c r="M38" s="9">
        <v>230617.344374882</v>
      </c>
      <c r="N38" s="9">
        <v>255407.25973630199</v>
      </c>
      <c r="O38" s="9">
        <v>278064.19004319003</v>
      </c>
      <c r="P38" s="9">
        <v>328719.67236670502</v>
      </c>
      <c r="Q38" s="9">
        <v>371250.85538954899</v>
      </c>
      <c r="R38" s="9">
        <v>420685.26879234798</v>
      </c>
      <c r="S38" s="9">
        <v>513728.355403747</v>
      </c>
      <c r="T38" s="9">
        <v>650390.93528699398</v>
      </c>
      <c r="U38" s="9">
        <v>789471.04042978096</v>
      </c>
      <c r="V38" s="9">
        <v>978045.24870477896</v>
      </c>
      <c r="W38" s="9">
        <v>1265209.70625813</v>
      </c>
      <c r="X38" s="9">
        <v>1432609.7469833901</v>
      </c>
      <c r="Y38" s="9">
        <v>1510548.8658412099</v>
      </c>
      <c r="Z38" s="9">
        <v>1679181.2634531001</v>
      </c>
      <c r="AA38" s="9">
        <v>1917917.1711512799</v>
      </c>
      <c r="AB38" s="9">
        <v>2113280.5189575902</v>
      </c>
      <c r="AC38" s="9">
        <v>2513882.8728082702</v>
      </c>
      <c r="AD38" s="9">
        <v>2938075.13729914</v>
      </c>
      <c r="AE38" s="9">
        <v>3402003.4188556499</v>
      </c>
      <c r="AF38" s="9">
        <v>3964734.6734586</v>
      </c>
      <c r="AG38" s="9">
        <v>4543641.6565949796</v>
      </c>
    </row>
    <row r="39" spans="1:33" x14ac:dyDescent="0.25">
      <c r="A39" s="8">
        <v>37</v>
      </c>
      <c r="B39" s="6" t="s">
        <v>39</v>
      </c>
      <c r="C39" s="9">
        <v>59269.8457106805</v>
      </c>
      <c r="D39" s="9">
        <v>77734.348871591603</v>
      </c>
      <c r="E39" s="9">
        <v>112104.319869124</v>
      </c>
      <c r="F39" s="9">
        <v>123221.539620999</v>
      </c>
      <c r="G39" s="9">
        <v>139892.25643414</v>
      </c>
      <c r="H39" s="9">
        <v>187016.96036559701</v>
      </c>
      <c r="I39" s="9">
        <v>255666.89459826</v>
      </c>
      <c r="J39" s="9">
        <v>414068.23410483502</v>
      </c>
      <c r="K39" s="9">
        <v>553795.72919619002</v>
      </c>
      <c r="L39" s="9">
        <v>687435.56527115195</v>
      </c>
      <c r="M39" s="9">
        <v>857491.17873315699</v>
      </c>
      <c r="N39" s="9">
        <v>826903.01407723397</v>
      </c>
      <c r="O39" s="9">
        <v>758646.45738630195</v>
      </c>
      <c r="P39" s="9">
        <v>805770.28932925896</v>
      </c>
      <c r="Q39" s="9">
        <v>817647.67685744504</v>
      </c>
      <c r="R39" s="9">
        <v>791851.898570391</v>
      </c>
      <c r="S39" s="9">
        <v>917621.33265813498</v>
      </c>
      <c r="T39" s="9">
        <v>1002988.2162737401</v>
      </c>
      <c r="U39" s="9">
        <v>1172156.9666750601</v>
      </c>
      <c r="V39" s="9">
        <v>1390487.67051884</v>
      </c>
      <c r="W39" s="9">
        <v>1794072.58565039</v>
      </c>
      <c r="X39" s="9">
        <v>1955865.0983974501</v>
      </c>
      <c r="Y39" s="9">
        <v>2220691.7571782498</v>
      </c>
      <c r="Z39" s="9">
        <v>2532271.1775771999</v>
      </c>
      <c r="AA39" s="9">
        <v>2819611.5568269002</v>
      </c>
      <c r="AB39" s="9">
        <v>2973461.03131695</v>
      </c>
      <c r="AC39" s="9">
        <v>3474324.48580562</v>
      </c>
      <c r="AD39" s="9">
        <v>3895011.42951506</v>
      </c>
      <c r="AE39" s="9">
        <v>4347350.6185404602</v>
      </c>
      <c r="AF39" s="9">
        <v>4762486.9094842197</v>
      </c>
      <c r="AG39" s="9">
        <v>5212364.97951202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9"/>
  <sheetViews>
    <sheetView zoomScale="67" zoomScaleNormal="67" workbookViewId="0">
      <selection activeCell="AE34" sqref="AE34"/>
    </sheetView>
  </sheetViews>
  <sheetFormatPr defaultColWidth="8.81640625" defaultRowHeight="14" x14ac:dyDescent="0.25"/>
  <cols>
    <col min="2" max="2" width="17.6328125" customWidth="1"/>
    <col min="26" max="33" width="10.1796875" customWidth="1"/>
  </cols>
  <sheetData>
    <row r="1" spans="1:33" x14ac:dyDescent="0.25">
      <c r="A1" s="7" t="s">
        <v>0</v>
      </c>
    </row>
    <row r="2" spans="1:33" x14ac:dyDescent="0.25">
      <c r="A2" s="8" t="s">
        <v>1</v>
      </c>
      <c r="B2" s="5" t="s">
        <v>2</v>
      </c>
      <c r="C2" s="8">
        <v>1987</v>
      </c>
      <c r="D2" s="8">
        <v>1988</v>
      </c>
      <c r="E2" s="8">
        <v>1989</v>
      </c>
      <c r="F2" s="8">
        <v>1990</v>
      </c>
      <c r="G2" s="8">
        <v>1991</v>
      </c>
      <c r="H2" s="8">
        <v>1992</v>
      </c>
      <c r="I2" s="8">
        <v>1993</v>
      </c>
      <c r="J2" s="8">
        <v>1994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</row>
    <row r="3" spans="1:33" x14ac:dyDescent="0.25">
      <c r="A3" s="8">
        <v>1</v>
      </c>
      <c r="B3" s="5" t="s">
        <v>3</v>
      </c>
      <c r="C3" s="13">
        <v>100</v>
      </c>
      <c r="D3" s="13">
        <v>120.798459097872</v>
      </c>
      <c r="E3" s="13">
        <v>134.328351296758</v>
      </c>
      <c r="F3" s="13">
        <v>160.56254499255201</v>
      </c>
      <c r="G3" s="13">
        <v>171.39258255124199</v>
      </c>
      <c r="H3" s="13">
        <v>190.17027253372501</v>
      </c>
      <c r="I3" s="13">
        <v>228.94206169762001</v>
      </c>
      <c r="J3" s="13">
        <v>317.73117979726999</v>
      </c>
      <c r="K3" s="13">
        <v>407.67606489911799</v>
      </c>
      <c r="L3" s="13">
        <v>475.97438940738402</v>
      </c>
      <c r="M3" s="13">
        <v>496.44322923020599</v>
      </c>
      <c r="N3" s="13">
        <v>510.93766963489799</v>
      </c>
      <c r="O3" s="13">
        <v>509.433273632208</v>
      </c>
      <c r="P3" s="13">
        <v>518.35985955932597</v>
      </c>
      <c r="Q3" s="13">
        <v>549.052879644683</v>
      </c>
      <c r="R3" s="13">
        <v>575.47440530959705</v>
      </c>
      <c r="S3" s="13">
        <v>602.962699652693</v>
      </c>
      <c r="T3" s="13">
        <v>740.49889603309396</v>
      </c>
      <c r="U3" s="13">
        <v>776.06447283322905</v>
      </c>
      <c r="V3" s="13">
        <v>831.30612251765001</v>
      </c>
      <c r="W3" s="13">
        <v>988.94816400549598</v>
      </c>
      <c r="X3" s="13">
        <v>1164.9144768370099</v>
      </c>
      <c r="Y3" s="13">
        <v>1218.2428877606801</v>
      </c>
      <c r="Z3" s="13">
        <v>1401.4335881869199</v>
      </c>
      <c r="AA3" s="13">
        <v>1642.0794645594201</v>
      </c>
      <c r="AB3" s="13">
        <v>1811.2897223871701</v>
      </c>
      <c r="AC3" s="13">
        <v>1963.0983387706999</v>
      </c>
      <c r="AD3" s="13">
        <v>1972.80748488328</v>
      </c>
      <c r="AE3" s="13">
        <v>2050.7902671451502</v>
      </c>
      <c r="AF3" s="13">
        <v>2133.8683444086601</v>
      </c>
      <c r="AG3" s="13">
        <v>2203.2170465341101</v>
      </c>
    </row>
    <row r="4" spans="1:33" x14ac:dyDescent="0.25">
      <c r="A4" s="8">
        <v>2</v>
      </c>
      <c r="B4" s="5" t="s">
        <v>4</v>
      </c>
      <c r="C4" s="13">
        <v>100</v>
      </c>
      <c r="D4" s="13">
        <v>132.64856967182001</v>
      </c>
      <c r="E4" s="13">
        <v>157.953690093934</v>
      </c>
      <c r="F4" s="13">
        <v>166.08267361462899</v>
      </c>
      <c r="G4" s="13">
        <v>201.52902704981099</v>
      </c>
      <c r="H4" s="13">
        <v>264.63906077522302</v>
      </c>
      <c r="I4" s="13">
        <v>356.36606013132803</v>
      </c>
      <c r="J4" s="13">
        <v>478.51046212043002</v>
      </c>
      <c r="K4" s="13">
        <v>614.935592134236</v>
      </c>
      <c r="L4" s="13">
        <v>718.99520808727698</v>
      </c>
      <c r="M4" s="13">
        <v>796.31468090446299</v>
      </c>
      <c r="N4" s="13">
        <v>882.10778385440096</v>
      </c>
      <c r="O4" s="13">
        <v>994.994597813734</v>
      </c>
      <c r="P4" s="13">
        <v>1143.25397761057</v>
      </c>
      <c r="Q4" s="13">
        <v>1301.31727177631</v>
      </c>
      <c r="R4" s="13">
        <v>1480.2446332458901</v>
      </c>
      <c r="S4" s="13">
        <v>1684.3613606307099</v>
      </c>
      <c r="T4" s="13">
        <v>1953.84740613028</v>
      </c>
      <c r="U4" s="13">
        <v>2683.0233252716598</v>
      </c>
      <c r="V4" s="13">
        <v>3169.2742861711899</v>
      </c>
      <c r="W4" s="13">
        <v>3562.1568652637702</v>
      </c>
      <c r="X4" s="13">
        <v>5486.7454885823099</v>
      </c>
      <c r="Y4" s="13">
        <v>4959.5563590878901</v>
      </c>
      <c r="Z4" s="13">
        <v>6431.7621871678703</v>
      </c>
      <c r="AA4" s="13">
        <v>8156.3730568461397</v>
      </c>
      <c r="AB4" s="13">
        <v>8061.0696730027403</v>
      </c>
      <c r="AC4" s="13">
        <v>7907.7491501525701</v>
      </c>
      <c r="AD4" s="13">
        <v>7027.0242721989598</v>
      </c>
      <c r="AE4" s="13">
        <v>5737.7782941758296</v>
      </c>
      <c r="AF4" s="13">
        <v>5394.7964170105197</v>
      </c>
      <c r="AG4" s="13">
        <v>6111.1437539868102</v>
      </c>
    </row>
    <row r="5" spans="1:33" x14ac:dyDescent="0.25">
      <c r="A5" s="8">
        <v>3</v>
      </c>
      <c r="B5" s="5" t="s">
        <v>5</v>
      </c>
      <c r="C5" s="13">
        <v>100</v>
      </c>
      <c r="D5" s="13">
        <v>128.60383484722101</v>
      </c>
      <c r="E5" s="13">
        <v>148.17858846407</v>
      </c>
      <c r="F5" s="13">
        <v>152.483612332744</v>
      </c>
      <c r="G5" s="13">
        <v>179.72580809713301</v>
      </c>
      <c r="H5" s="13">
        <v>228.934348407898</v>
      </c>
      <c r="I5" s="13">
        <v>301.28276644293101</v>
      </c>
      <c r="J5" s="13">
        <v>394.88751809291301</v>
      </c>
      <c r="K5" s="13">
        <v>492.403430638023</v>
      </c>
      <c r="L5" s="13">
        <v>559.05511541993599</v>
      </c>
      <c r="M5" s="13">
        <v>600.23806152345503</v>
      </c>
      <c r="N5" s="13">
        <v>690.25455093101903</v>
      </c>
      <c r="O5" s="13">
        <v>805.16032839585398</v>
      </c>
      <c r="P5" s="13">
        <v>927.41396839768095</v>
      </c>
      <c r="Q5" s="13">
        <v>1073.03547129144</v>
      </c>
      <c r="R5" s="13">
        <v>1239.4866562377199</v>
      </c>
      <c r="S5" s="13">
        <v>1472.2749845972401</v>
      </c>
      <c r="T5" s="13">
        <v>1786.3523982598099</v>
      </c>
      <c r="U5" s="13">
        <v>2526.1261851150002</v>
      </c>
      <c r="V5" s="13">
        <v>3100.5659841905099</v>
      </c>
      <c r="W5" s="13">
        <v>3624.24404305694</v>
      </c>
      <c r="X5" s="13">
        <v>4790.9268349426502</v>
      </c>
      <c r="Y5" s="13">
        <v>3709.0261727734101</v>
      </c>
      <c r="Z5" s="13">
        <v>4527.8732228627096</v>
      </c>
      <c r="AA5" s="13">
        <v>5134.5829357295597</v>
      </c>
      <c r="AB5" s="13">
        <v>4520.3701397479499</v>
      </c>
      <c r="AC5" s="13">
        <v>4537.32483083031</v>
      </c>
      <c r="AD5" s="13">
        <v>4126.9477992332604</v>
      </c>
      <c r="AE5" s="13">
        <v>3210.9737302418998</v>
      </c>
      <c r="AF5" s="13">
        <v>2980.3330727770499</v>
      </c>
      <c r="AG5" s="13">
        <v>3331.8521075854401</v>
      </c>
    </row>
    <row r="6" spans="1:33" x14ac:dyDescent="0.25">
      <c r="A6" s="8">
        <v>4</v>
      </c>
      <c r="B6" s="5" t="s">
        <v>6</v>
      </c>
      <c r="C6" s="13">
        <v>100</v>
      </c>
      <c r="D6" s="13">
        <v>132.15908203925699</v>
      </c>
      <c r="E6" s="13">
        <v>156.77072222030199</v>
      </c>
      <c r="F6" s="13">
        <v>161.351838851964</v>
      </c>
      <c r="G6" s="13">
        <v>193.230465819605</v>
      </c>
      <c r="H6" s="13">
        <v>250.32878009823199</v>
      </c>
      <c r="I6" s="13">
        <v>393.67708321199001</v>
      </c>
      <c r="J6" s="13">
        <v>606.65862223859801</v>
      </c>
      <c r="K6" s="13">
        <v>827.68918187413499</v>
      </c>
      <c r="L6" s="13">
        <v>1057.7659806117999</v>
      </c>
      <c r="M6" s="13">
        <v>1273.75342067631</v>
      </c>
      <c r="N6" s="13">
        <v>1257.58043856985</v>
      </c>
      <c r="O6" s="13">
        <v>1257.7125980539199</v>
      </c>
      <c r="P6" s="13">
        <v>1423.0589717174601</v>
      </c>
      <c r="Q6" s="13">
        <v>1510.1276455044101</v>
      </c>
      <c r="R6" s="13">
        <v>1598.5536975349401</v>
      </c>
      <c r="S6" s="13">
        <v>2160.9104144150301</v>
      </c>
      <c r="T6" s="13">
        <v>2940.5992969731501</v>
      </c>
      <c r="U6" s="13">
        <v>4222.6526966751198</v>
      </c>
      <c r="V6" s="13">
        <v>5491.0338624278602</v>
      </c>
      <c r="W6" s="13">
        <v>6772.7138926445296</v>
      </c>
      <c r="X6" s="13">
        <v>9808.7487457878706</v>
      </c>
      <c r="Y6" s="13">
        <v>8376.8691278070401</v>
      </c>
      <c r="Z6" s="13">
        <v>11031.3013737377</v>
      </c>
      <c r="AA6" s="13">
        <v>13728.647899894</v>
      </c>
      <c r="AB6" s="13">
        <v>13330.464890425999</v>
      </c>
      <c r="AC6" s="13">
        <v>12983.753861471099</v>
      </c>
      <c r="AD6" s="13">
        <v>11451.7310283238</v>
      </c>
      <c r="AE6" s="13">
        <v>9234.3836664438404</v>
      </c>
      <c r="AF6" s="13">
        <v>8593.5709233217003</v>
      </c>
      <c r="AG6" s="13">
        <v>9633.1749044230892</v>
      </c>
    </row>
    <row r="7" spans="1:33" x14ac:dyDescent="0.25">
      <c r="A7" s="8">
        <v>5</v>
      </c>
      <c r="B7" s="5" t="s">
        <v>7</v>
      </c>
      <c r="C7" s="13">
        <v>100</v>
      </c>
      <c r="D7" s="13">
        <v>161.24605443080199</v>
      </c>
      <c r="E7" s="13">
        <v>227.066581791408</v>
      </c>
      <c r="F7" s="13">
        <v>253.83462581777201</v>
      </c>
      <c r="G7" s="13">
        <v>340.27815697459903</v>
      </c>
      <c r="H7" s="13">
        <v>489.89154844268802</v>
      </c>
      <c r="I7" s="13">
        <v>662.92039561000604</v>
      </c>
      <c r="J7" s="13">
        <v>894.58716689234598</v>
      </c>
      <c r="K7" s="13">
        <v>1204.9869680755601</v>
      </c>
      <c r="L7" s="13">
        <v>1445.9455340869299</v>
      </c>
      <c r="M7" s="13">
        <v>1643.52088456504</v>
      </c>
      <c r="N7" s="13">
        <v>1608.89266934855</v>
      </c>
      <c r="O7" s="13">
        <v>1592.8781063029301</v>
      </c>
      <c r="P7" s="13">
        <v>1733.67079495743</v>
      </c>
      <c r="Q7" s="13">
        <v>1786.94633888922</v>
      </c>
      <c r="R7" s="13">
        <v>1830.02729905916</v>
      </c>
      <c r="S7" s="13">
        <v>2144.5267491705899</v>
      </c>
      <c r="T7" s="13">
        <v>2566.5140459642898</v>
      </c>
      <c r="U7" s="13">
        <v>3380.4435560525799</v>
      </c>
      <c r="V7" s="13">
        <v>3970.15738867338</v>
      </c>
      <c r="W7" s="13">
        <v>4434.9284883733699</v>
      </c>
      <c r="X7" s="13">
        <v>6247.7287454776997</v>
      </c>
      <c r="Y7" s="13">
        <v>5189.2962766354303</v>
      </c>
      <c r="Z7" s="13">
        <v>6418.4888705118701</v>
      </c>
      <c r="AA7" s="13">
        <v>7634.2331347480504</v>
      </c>
      <c r="AB7" s="13">
        <v>7083.9612636209704</v>
      </c>
      <c r="AC7" s="13">
        <v>7836.8231827330401</v>
      </c>
      <c r="AD7" s="13">
        <v>7782.9168926847296</v>
      </c>
      <c r="AE7" s="13">
        <v>6504.1882533832504</v>
      </c>
      <c r="AF7" s="13">
        <v>6504.9139213168201</v>
      </c>
      <c r="AG7" s="13">
        <v>7813.7750887861403</v>
      </c>
    </row>
    <row r="8" spans="1:33" x14ac:dyDescent="0.25">
      <c r="A8" s="8">
        <v>6</v>
      </c>
      <c r="B8" s="5" t="s">
        <v>8</v>
      </c>
      <c r="C8" s="13">
        <v>100</v>
      </c>
      <c r="D8" s="13">
        <v>124.590593938141</v>
      </c>
      <c r="E8" s="13">
        <v>138.59908916494601</v>
      </c>
      <c r="F8" s="13">
        <v>146.71649477189499</v>
      </c>
      <c r="G8" s="13">
        <v>171.82618295967501</v>
      </c>
      <c r="H8" s="13">
        <v>216.94559952952699</v>
      </c>
      <c r="I8" s="13">
        <v>308.03643779500197</v>
      </c>
      <c r="J8" s="13">
        <v>434.97789130044498</v>
      </c>
      <c r="K8" s="13">
        <v>562.95103114986796</v>
      </c>
      <c r="L8" s="13">
        <v>676.917333543528</v>
      </c>
      <c r="M8" s="13">
        <v>770.70152091212003</v>
      </c>
      <c r="N8" s="13">
        <v>739.90812750773898</v>
      </c>
      <c r="O8" s="13">
        <v>722.18173579500296</v>
      </c>
      <c r="P8" s="13">
        <v>783.611389573819</v>
      </c>
      <c r="Q8" s="13">
        <v>805.167819089918</v>
      </c>
      <c r="R8" s="13">
        <v>825.48936214195101</v>
      </c>
      <c r="S8" s="13">
        <v>1013.3596293601</v>
      </c>
      <c r="T8" s="13">
        <v>1254.13374657091</v>
      </c>
      <c r="U8" s="13">
        <v>1473.0742982225199</v>
      </c>
      <c r="V8" s="13">
        <v>1797.16939958842</v>
      </c>
      <c r="W8" s="13">
        <v>2276.6195385232099</v>
      </c>
      <c r="X8" s="13">
        <v>2799.8476707330001</v>
      </c>
      <c r="Y8" s="13">
        <v>3175.6349242259198</v>
      </c>
      <c r="Z8" s="13">
        <v>3930.2344130931901</v>
      </c>
      <c r="AA8" s="13">
        <v>4783.0150410758297</v>
      </c>
      <c r="AB8" s="13">
        <v>5402.9401638972304</v>
      </c>
      <c r="AC8" s="13">
        <v>5818.2324482582098</v>
      </c>
      <c r="AD8" s="13">
        <v>6290.1376170122603</v>
      </c>
      <c r="AE8" s="13">
        <v>6644.3667658725099</v>
      </c>
      <c r="AF8" s="13">
        <v>7118.2961910233698</v>
      </c>
      <c r="AG8" s="13">
        <v>8080.36885412221</v>
      </c>
    </row>
    <row r="9" spans="1:33" x14ac:dyDescent="0.25">
      <c r="A9" s="8">
        <v>7</v>
      </c>
      <c r="B9" s="5" t="s">
        <v>9</v>
      </c>
      <c r="C9" s="13">
        <v>100</v>
      </c>
      <c r="D9" s="13">
        <v>126.16782579393799</v>
      </c>
      <c r="E9" s="13">
        <v>142.27276577212999</v>
      </c>
      <c r="F9" s="13">
        <v>151.74461652276099</v>
      </c>
      <c r="G9" s="13">
        <v>179.81234464315301</v>
      </c>
      <c r="H9" s="13">
        <v>229.916407799631</v>
      </c>
      <c r="I9" s="13">
        <v>290.45556571976402</v>
      </c>
      <c r="J9" s="13">
        <v>364.36147103676097</v>
      </c>
      <c r="K9" s="13">
        <v>444.50027161960099</v>
      </c>
      <c r="L9" s="13">
        <v>486.66755047911897</v>
      </c>
      <c r="M9" s="13">
        <v>502.42862814542599</v>
      </c>
      <c r="N9" s="13">
        <v>506.07443105300899</v>
      </c>
      <c r="O9" s="13">
        <v>520.74264310677302</v>
      </c>
      <c r="P9" s="13">
        <v>549.92577794691294</v>
      </c>
      <c r="Q9" s="13">
        <v>573.42676839138699</v>
      </c>
      <c r="R9" s="13">
        <v>597.49898685883602</v>
      </c>
      <c r="S9" s="13">
        <v>689.59610764215404</v>
      </c>
      <c r="T9" s="13">
        <v>799.14177824610204</v>
      </c>
      <c r="U9" s="13">
        <v>911.254289001752</v>
      </c>
      <c r="V9" s="13">
        <v>1053.5539812900699</v>
      </c>
      <c r="W9" s="13">
        <v>1258.6067150433601</v>
      </c>
      <c r="X9" s="13">
        <v>1504.83436464333</v>
      </c>
      <c r="Y9" s="13">
        <v>1662.3247526191799</v>
      </c>
      <c r="Z9" s="13">
        <v>1970.7670524687401</v>
      </c>
      <c r="AA9" s="13">
        <v>2319.5539393286699</v>
      </c>
      <c r="AB9" s="13">
        <v>2536.0630050116802</v>
      </c>
      <c r="AC9" s="13">
        <v>2673.9487342884499</v>
      </c>
      <c r="AD9" s="13">
        <v>2833.3434573948298</v>
      </c>
      <c r="AE9" s="13">
        <v>2920.4732399263498</v>
      </c>
      <c r="AF9" s="13">
        <v>3063.8912224658202</v>
      </c>
      <c r="AG9" s="13">
        <v>3408.6255198991598</v>
      </c>
    </row>
    <row r="10" spans="1:33" x14ac:dyDescent="0.25">
      <c r="A10" s="8">
        <v>8</v>
      </c>
      <c r="B10" s="5" t="s">
        <v>10</v>
      </c>
      <c r="C10" s="13">
        <v>100</v>
      </c>
      <c r="D10" s="13">
        <v>126.776380067799</v>
      </c>
      <c r="E10" s="13">
        <v>143.69020582184001</v>
      </c>
      <c r="F10" s="13">
        <v>151.387048144998</v>
      </c>
      <c r="G10" s="13">
        <v>178.68299114879201</v>
      </c>
      <c r="H10" s="13">
        <v>227.51225081064001</v>
      </c>
      <c r="I10" s="13">
        <v>293.039824468907</v>
      </c>
      <c r="J10" s="13">
        <v>375.64019555329901</v>
      </c>
      <c r="K10" s="13">
        <v>463.00111237394901</v>
      </c>
      <c r="L10" s="13">
        <v>516.54639748573004</v>
      </c>
      <c r="M10" s="13">
        <v>544.69346783364199</v>
      </c>
      <c r="N10" s="13">
        <v>527.01106813796105</v>
      </c>
      <c r="O10" s="13">
        <v>518.99454280811699</v>
      </c>
      <c r="P10" s="13">
        <v>540.24717492187597</v>
      </c>
      <c r="Q10" s="13">
        <v>544.37707996442396</v>
      </c>
      <c r="R10" s="13">
        <v>545.81270694430896</v>
      </c>
      <c r="S10" s="13">
        <v>664.950577969287</v>
      </c>
      <c r="T10" s="13">
        <v>816.654792321733</v>
      </c>
      <c r="U10" s="13">
        <v>942.98928406948801</v>
      </c>
      <c r="V10" s="13">
        <v>1135.3862296054699</v>
      </c>
      <c r="W10" s="13">
        <v>1418.59477923751</v>
      </c>
      <c r="X10" s="13">
        <v>1556.83983563283</v>
      </c>
      <c r="Y10" s="13">
        <v>1571.6802938360699</v>
      </c>
      <c r="Z10" s="13">
        <v>1813.0147433632501</v>
      </c>
      <c r="AA10" s="13">
        <v>1999.12569089871</v>
      </c>
      <c r="AB10" s="13">
        <v>2037.0240519644101</v>
      </c>
      <c r="AC10" s="13">
        <v>2063.0140549872299</v>
      </c>
      <c r="AD10" s="13">
        <v>2098.7557728128299</v>
      </c>
      <c r="AE10" s="13">
        <v>2035.65510629249</v>
      </c>
      <c r="AF10" s="13">
        <v>2024.7564885716699</v>
      </c>
      <c r="AG10" s="13">
        <v>2131.5570637679698</v>
      </c>
    </row>
    <row r="11" spans="1:33" x14ac:dyDescent="0.25">
      <c r="A11" s="8">
        <v>9</v>
      </c>
      <c r="B11" s="5" t="s">
        <v>11</v>
      </c>
      <c r="C11" s="13">
        <v>100</v>
      </c>
      <c r="D11" s="13">
        <v>137.76770460896299</v>
      </c>
      <c r="E11" s="13">
        <v>169.291116493565</v>
      </c>
      <c r="F11" s="13">
        <v>191.52683596098899</v>
      </c>
      <c r="G11" s="13">
        <v>243.68321091723399</v>
      </c>
      <c r="H11" s="13">
        <v>334.34808545012999</v>
      </c>
      <c r="I11" s="13">
        <v>468.48664559479698</v>
      </c>
      <c r="J11" s="13">
        <v>653.60293859480203</v>
      </c>
      <c r="K11" s="13">
        <v>873.03454870123699</v>
      </c>
      <c r="L11" s="13">
        <v>1059.11175058759</v>
      </c>
      <c r="M11" s="13">
        <v>1215.9344432410401</v>
      </c>
      <c r="N11" s="13">
        <v>1169.7608106344801</v>
      </c>
      <c r="O11" s="13">
        <v>1144.45726007913</v>
      </c>
      <c r="P11" s="13">
        <v>1249.2835124015501</v>
      </c>
      <c r="Q11" s="13">
        <v>1289.90600352192</v>
      </c>
      <c r="R11" s="13">
        <v>1329.6340388266201</v>
      </c>
      <c r="S11" s="13">
        <v>1589.0068094722401</v>
      </c>
      <c r="T11" s="13">
        <v>1913.0585695252801</v>
      </c>
      <c r="U11" s="13">
        <v>2217.8156475133201</v>
      </c>
      <c r="V11" s="13">
        <v>2647.0198725321902</v>
      </c>
      <c r="W11" s="13">
        <v>3276.4527532074399</v>
      </c>
      <c r="X11" s="13">
        <v>3957.07857733627</v>
      </c>
      <c r="Y11" s="13">
        <v>4413.3557756813998</v>
      </c>
      <c r="Z11" s="13">
        <v>5356.6979812600903</v>
      </c>
      <c r="AA11" s="13">
        <v>6408.7896594616504</v>
      </c>
      <c r="AB11" s="13">
        <v>7121.8215765828199</v>
      </c>
      <c r="AC11" s="13">
        <v>7479.4978107853403</v>
      </c>
      <c r="AD11" s="13">
        <v>7894.9538702015598</v>
      </c>
      <c r="AE11" s="13">
        <v>8186.4272030426901</v>
      </c>
      <c r="AF11" s="13">
        <v>8597.2897874185601</v>
      </c>
      <c r="AG11" s="13">
        <v>9574.2705309037992</v>
      </c>
    </row>
    <row r="12" spans="1:33" x14ac:dyDescent="0.25">
      <c r="A12" s="8">
        <v>10</v>
      </c>
      <c r="B12" s="5" t="s">
        <v>12</v>
      </c>
      <c r="C12" s="13">
        <v>100</v>
      </c>
      <c r="D12" s="13">
        <v>132.14832034288901</v>
      </c>
      <c r="E12" s="13">
        <v>156.20248881388201</v>
      </c>
      <c r="F12" s="13">
        <v>177.860952863948</v>
      </c>
      <c r="G12" s="13">
        <v>223.015807663229</v>
      </c>
      <c r="H12" s="13">
        <v>301.834689149886</v>
      </c>
      <c r="I12" s="13">
        <v>457.35427135171801</v>
      </c>
      <c r="J12" s="13">
        <v>682.44572434371003</v>
      </c>
      <c r="K12" s="13">
        <v>932.30727324047996</v>
      </c>
      <c r="L12" s="13">
        <v>1174.4898348504501</v>
      </c>
      <c r="M12" s="13">
        <v>1394.9504463031101</v>
      </c>
      <c r="N12" s="13">
        <v>1351.5581035775999</v>
      </c>
      <c r="O12" s="13">
        <v>1333.11961042805</v>
      </c>
      <c r="P12" s="13">
        <v>1488.38756392604</v>
      </c>
      <c r="Q12" s="13">
        <v>1563.51964339044</v>
      </c>
      <c r="R12" s="13">
        <v>1642.17706883502</v>
      </c>
      <c r="S12" s="13">
        <v>1983.24083328139</v>
      </c>
      <c r="T12" s="13">
        <v>2414.0295677187801</v>
      </c>
      <c r="U12" s="13">
        <v>2846.2620915576299</v>
      </c>
      <c r="V12" s="13">
        <v>3449.0655772166101</v>
      </c>
      <c r="W12" s="13">
        <v>4338.6269834390196</v>
      </c>
      <c r="X12" s="13">
        <v>5062.6897582863503</v>
      </c>
      <c r="Y12" s="13">
        <v>5459.9172545338297</v>
      </c>
      <c r="Z12" s="13">
        <v>6563.6384544742996</v>
      </c>
      <c r="AA12" s="13">
        <v>7685.5480914221198</v>
      </c>
      <c r="AB12" s="13">
        <v>8359.0878047324495</v>
      </c>
      <c r="AC12" s="13">
        <v>8675.2264848412397</v>
      </c>
      <c r="AD12" s="13">
        <v>9049.9791937805403</v>
      </c>
      <c r="AE12" s="13">
        <v>9231.1352746430202</v>
      </c>
      <c r="AF12" s="13">
        <v>9560.1658345413707</v>
      </c>
      <c r="AG12" s="13">
        <v>10500.160362021599</v>
      </c>
    </row>
    <row r="13" spans="1:33" x14ac:dyDescent="0.25">
      <c r="A13" s="8">
        <v>11</v>
      </c>
      <c r="B13" s="5" t="s">
        <v>13</v>
      </c>
      <c r="C13" s="13">
        <v>100</v>
      </c>
      <c r="D13" s="13">
        <v>123.058985082661</v>
      </c>
      <c r="E13" s="13">
        <v>135.031677307867</v>
      </c>
      <c r="F13" s="13">
        <v>148.15641743906201</v>
      </c>
      <c r="G13" s="13">
        <v>175.658162038592</v>
      </c>
      <c r="H13" s="13">
        <v>224.73762885957299</v>
      </c>
      <c r="I13" s="13">
        <v>342.11066693115202</v>
      </c>
      <c r="J13" s="13">
        <v>512.36420339256904</v>
      </c>
      <c r="K13" s="13">
        <v>686.23824672875799</v>
      </c>
      <c r="L13" s="13">
        <v>858.96392003561698</v>
      </c>
      <c r="M13" s="13">
        <v>1014.48859829586</v>
      </c>
      <c r="N13" s="13">
        <v>1102.2831777169099</v>
      </c>
      <c r="O13" s="13">
        <v>1220.8242849582</v>
      </c>
      <c r="P13" s="13">
        <v>1428.6478581379099</v>
      </c>
      <c r="Q13" s="13">
        <v>1624.65151157579</v>
      </c>
      <c r="R13" s="13">
        <v>1845.3134108778399</v>
      </c>
      <c r="S13" s="13">
        <v>2173.6847228848701</v>
      </c>
      <c r="T13" s="13">
        <v>2576.8132814522401</v>
      </c>
      <c r="U13" s="13">
        <v>3124.8760313371699</v>
      </c>
      <c r="V13" s="13">
        <v>3790.11050128959</v>
      </c>
      <c r="W13" s="13">
        <v>4772.13541639703</v>
      </c>
      <c r="X13" s="13">
        <v>5545.7949685210897</v>
      </c>
      <c r="Y13" s="13">
        <v>5956.14227764521</v>
      </c>
      <c r="Z13" s="13">
        <v>7147.8655057467204</v>
      </c>
      <c r="AA13" s="13">
        <v>8344.2592155058301</v>
      </c>
      <c r="AB13" s="13">
        <v>9047.3790727164505</v>
      </c>
      <c r="AC13" s="13">
        <v>9688.7786917130306</v>
      </c>
      <c r="AD13" s="13">
        <v>10420.182675371299</v>
      </c>
      <c r="AE13" s="13">
        <v>10776.7658859082</v>
      </c>
      <c r="AF13" s="13">
        <v>11405.221587664901</v>
      </c>
      <c r="AG13" s="13">
        <v>12796.7999363911</v>
      </c>
    </row>
    <row r="14" spans="1:33" x14ac:dyDescent="0.25">
      <c r="A14" s="8">
        <v>12</v>
      </c>
      <c r="B14" s="5" t="s">
        <v>14</v>
      </c>
      <c r="C14" s="13">
        <v>100</v>
      </c>
      <c r="D14" s="13">
        <v>124.271995458647</v>
      </c>
      <c r="E14" s="13">
        <v>137.857011976422</v>
      </c>
      <c r="F14" s="13">
        <v>155.62495638035401</v>
      </c>
      <c r="G14" s="13">
        <v>188.40048451905901</v>
      </c>
      <c r="H14" s="13">
        <v>246.32654273519401</v>
      </c>
      <c r="I14" s="13">
        <v>333.12540504291002</v>
      </c>
      <c r="J14" s="13">
        <v>449.25408839063402</v>
      </c>
      <c r="K14" s="13">
        <v>577.58795798232802</v>
      </c>
      <c r="L14" s="13">
        <v>677.22556698520498</v>
      </c>
      <c r="M14" s="13">
        <v>752.37005979011201</v>
      </c>
      <c r="N14" s="13">
        <v>814.29573160262896</v>
      </c>
      <c r="O14" s="13">
        <v>898.68759332644095</v>
      </c>
      <c r="P14" s="13">
        <v>1023.299180629</v>
      </c>
      <c r="Q14" s="13">
        <v>1147.96127206556</v>
      </c>
      <c r="R14" s="13">
        <v>1287.5841923066901</v>
      </c>
      <c r="S14" s="13">
        <v>1438.5815626584499</v>
      </c>
      <c r="T14" s="13">
        <v>1604.63446734184</v>
      </c>
      <c r="U14" s="13">
        <v>1873.56345163026</v>
      </c>
      <c r="V14" s="13">
        <v>2146.8831881947899</v>
      </c>
      <c r="W14" s="13">
        <v>2538.1903234317901</v>
      </c>
      <c r="X14" s="13">
        <v>2920.5028132055099</v>
      </c>
      <c r="Y14" s="13">
        <v>3104.6781241621902</v>
      </c>
      <c r="Z14" s="13">
        <v>3574.7408034599098</v>
      </c>
      <c r="AA14" s="13">
        <v>4058.2279587563598</v>
      </c>
      <c r="AB14" s="13">
        <v>4272.4184337741799</v>
      </c>
      <c r="AC14" s="13">
        <v>4627.9424724785504</v>
      </c>
      <c r="AD14" s="13">
        <v>5030.6419122247198</v>
      </c>
      <c r="AE14" s="13">
        <v>5158.0157644475003</v>
      </c>
      <c r="AF14" s="13">
        <v>5464.0061553608903</v>
      </c>
      <c r="AG14" s="13">
        <v>6136.3056083433403</v>
      </c>
    </row>
    <row r="15" spans="1:33" x14ac:dyDescent="0.25">
      <c r="A15" s="8">
        <v>13</v>
      </c>
      <c r="B15" s="5" t="s">
        <v>15</v>
      </c>
      <c r="C15" s="13">
        <v>100</v>
      </c>
      <c r="D15" s="13">
        <v>128.307794630887</v>
      </c>
      <c r="E15" s="13">
        <v>147.25716513454</v>
      </c>
      <c r="F15" s="13">
        <v>153.26372424536899</v>
      </c>
      <c r="G15" s="13">
        <v>180.929337792794</v>
      </c>
      <c r="H15" s="13">
        <v>230.415212487876</v>
      </c>
      <c r="I15" s="13">
        <v>319.00821866445801</v>
      </c>
      <c r="J15" s="13">
        <v>440.09968109055899</v>
      </c>
      <c r="K15" s="13">
        <v>565.05878875464202</v>
      </c>
      <c r="L15" s="13">
        <v>669.51150145131601</v>
      </c>
      <c r="M15" s="13">
        <v>751.52998869732198</v>
      </c>
      <c r="N15" s="13">
        <v>854.442577177967</v>
      </c>
      <c r="O15" s="13">
        <v>984.13009638814697</v>
      </c>
      <c r="P15" s="13">
        <v>1147.0109156322201</v>
      </c>
      <c r="Q15" s="13">
        <v>1323.77631574611</v>
      </c>
      <c r="R15" s="13">
        <v>1523.67056567597</v>
      </c>
      <c r="S15" s="13">
        <v>1889.6420689760901</v>
      </c>
      <c r="T15" s="13">
        <v>2362.3837671425599</v>
      </c>
      <c r="U15" s="13">
        <v>2952.9562766378799</v>
      </c>
      <c r="V15" s="13">
        <v>3734.15135402756</v>
      </c>
      <c r="W15" s="13">
        <v>4902.1484977145001</v>
      </c>
      <c r="X15" s="13">
        <v>5790.2196169927101</v>
      </c>
      <c r="Y15" s="13">
        <v>6320.7524612284296</v>
      </c>
      <c r="Z15" s="13">
        <v>7809.7523809156901</v>
      </c>
      <c r="AA15" s="13">
        <v>9327.2078737767097</v>
      </c>
      <c r="AB15" s="13">
        <v>10347.099761429199</v>
      </c>
      <c r="AC15" s="13">
        <v>10088.082293675499</v>
      </c>
      <c r="AD15" s="13">
        <v>9843.8849188755103</v>
      </c>
      <c r="AE15" s="13">
        <v>9798.6890870941806</v>
      </c>
      <c r="AF15" s="13">
        <v>9658.4572213191495</v>
      </c>
      <c r="AG15" s="13">
        <v>10066.862716191101</v>
      </c>
    </row>
    <row r="16" spans="1:33" x14ac:dyDescent="0.25">
      <c r="A16" s="8">
        <v>14</v>
      </c>
      <c r="B16" s="5" t="s">
        <v>16</v>
      </c>
      <c r="C16" s="13">
        <v>100</v>
      </c>
      <c r="D16" s="13">
        <v>128.90037384019601</v>
      </c>
      <c r="E16" s="13">
        <v>148.63739618373</v>
      </c>
      <c r="F16" s="13">
        <v>162.74114235790699</v>
      </c>
      <c r="G16" s="13">
        <v>197.836545216953</v>
      </c>
      <c r="H16" s="13">
        <v>259.757462197709</v>
      </c>
      <c r="I16" s="13">
        <v>351.28973554401603</v>
      </c>
      <c r="J16" s="13">
        <v>473.75152372101599</v>
      </c>
      <c r="K16" s="13">
        <v>610.36831413157404</v>
      </c>
      <c r="L16" s="13">
        <v>716.41177713192803</v>
      </c>
      <c r="M16" s="13">
        <v>796.73649235334995</v>
      </c>
      <c r="N16" s="13">
        <v>812.23766232813898</v>
      </c>
      <c r="O16" s="13">
        <v>846.24384937874004</v>
      </c>
      <c r="P16" s="13">
        <v>937.53678084299804</v>
      </c>
      <c r="Q16" s="13">
        <v>1009.70647591302</v>
      </c>
      <c r="R16" s="13">
        <v>1088.36308757301</v>
      </c>
      <c r="S16" s="13">
        <v>1334.0222465418799</v>
      </c>
      <c r="T16" s="13">
        <v>1648.4644795515301</v>
      </c>
      <c r="U16" s="13">
        <v>1986.30562197924</v>
      </c>
      <c r="V16" s="13">
        <v>2453.3749972728501</v>
      </c>
      <c r="W16" s="13">
        <v>3147.1536471372601</v>
      </c>
      <c r="X16" s="13">
        <v>3813.2061290281799</v>
      </c>
      <c r="Y16" s="13">
        <v>4265.8265348223204</v>
      </c>
      <c r="Z16" s="13">
        <v>5274.8305160949803</v>
      </c>
      <c r="AA16" s="13">
        <v>6376.0059756221799</v>
      </c>
      <c r="AB16" s="13">
        <v>7156.12911087872</v>
      </c>
      <c r="AC16" s="13">
        <v>7415.8831512267698</v>
      </c>
      <c r="AD16" s="13">
        <v>7724.8493889671099</v>
      </c>
      <c r="AE16" s="13">
        <v>7997.9189842653605</v>
      </c>
      <c r="AF16" s="13">
        <v>8338.8687952204291</v>
      </c>
      <c r="AG16" s="13">
        <v>9220.5644438269501</v>
      </c>
    </row>
    <row r="17" spans="1:33" x14ac:dyDescent="0.25">
      <c r="A17" s="8">
        <v>15</v>
      </c>
      <c r="B17" s="5" t="s">
        <v>17</v>
      </c>
      <c r="C17" s="13">
        <v>100</v>
      </c>
      <c r="D17" s="13">
        <v>133.551858624229</v>
      </c>
      <c r="E17" s="13">
        <v>159.471599650374</v>
      </c>
      <c r="F17" s="13">
        <v>173.41959293143299</v>
      </c>
      <c r="G17" s="13">
        <v>213.783000936093</v>
      </c>
      <c r="H17" s="13">
        <v>284.62763339126201</v>
      </c>
      <c r="I17" s="13">
        <v>384.00746420526002</v>
      </c>
      <c r="J17" s="13">
        <v>516.65139101109901</v>
      </c>
      <c r="K17" s="13">
        <v>669.44606642547001</v>
      </c>
      <c r="L17" s="13">
        <v>787.05316318908399</v>
      </c>
      <c r="M17" s="13">
        <v>876.73676029093997</v>
      </c>
      <c r="N17" s="13">
        <v>949.71128652018695</v>
      </c>
      <c r="O17" s="13">
        <v>1048.9514331482601</v>
      </c>
      <c r="P17" s="13">
        <v>1196.24636585291</v>
      </c>
      <c r="Q17" s="13">
        <v>1343.38016358302</v>
      </c>
      <c r="R17" s="13">
        <v>1508.24417788967</v>
      </c>
      <c r="S17" s="13">
        <v>1722.09066144195</v>
      </c>
      <c r="T17" s="13">
        <v>1971.13298313731</v>
      </c>
      <c r="U17" s="13">
        <v>2334.3896494002001</v>
      </c>
      <c r="V17" s="13">
        <v>2740.1769946043</v>
      </c>
      <c r="W17" s="13">
        <v>3330.3655789804202</v>
      </c>
      <c r="X17" s="13">
        <v>3902.25980221695</v>
      </c>
      <c r="Y17" s="13">
        <v>4225.9756339989499</v>
      </c>
      <c r="Z17" s="13">
        <v>4999.1119034554204</v>
      </c>
      <c r="AA17" s="13">
        <v>5817.4019216145598</v>
      </c>
      <c r="AB17" s="13">
        <v>6287.0720815572404</v>
      </c>
      <c r="AC17" s="13">
        <v>6490.9146225376098</v>
      </c>
      <c r="AD17" s="13">
        <v>6735.8298017537099</v>
      </c>
      <c r="AE17" s="13">
        <v>6829.5205698198997</v>
      </c>
      <c r="AF17" s="13">
        <v>7032.5003118715204</v>
      </c>
      <c r="AG17" s="13">
        <v>7679.2384850001899</v>
      </c>
    </row>
    <row r="18" spans="1:33" x14ac:dyDescent="0.25">
      <c r="A18" s="8">
        <v>16</v>
      </c>
      <c r="B18" s="5" t="s">
        <v>18</v>
      </c>
      <c r="C18" s="13">
        <v>100</v>
      </c>
      <c r="D18" s="13">
        <v>134.20199482038001</v>
      </c>
      <c r="E18" s="13">
        <v>160.98589200156201</v>
      </c>
      <c r="F18" s="13">
        <v>183.367734838611</v>
      </c>
      <c r="G18" s="13">
        <v>231.50804565039101</v>
      </c>
      <c r="H18" s="13">
        <v>315.36942903125498</v>
      </c>
      <c r="I18" s="13">
        <v>434.50969863125999</v>
      </c>
      <c r="J18" s="13">
        <v>596.68229522100296</v>
      </c>
      <c r="K18" s="13">
        <v>789.01185478172999</v>
      </c>
      <c r="L18" s="13">
        <v>945.93151203362095</v>
      </c>
      <c r="M18" s="13">
        <v>1073.94905526652</v>
      </c>
      <c r="N18" s="13">
        <v>955.75808207850901</v>
      </c>
      <c r="O18" s="13">
        <v>847.82897632891002</v>
      </c>
      <c r="P18" s="13">
        <v>869.75471607122302</v>
      </c>
      <c r="Q18" s="13">
        <v>808.23542192068601</v>
      </c>
      <c r="R18" s="13">
        <v>730.67245623978602</v>
      </c>
      <c r="S18" s="13">
        <v>997.02379640054005</v>
      </c>
      <c r="T18" s="13">
        <v>1357.7268769688301</v>
      </c>
      <c r="U18" s="13">
        <v>1583.1572270787101</v>
      </c>
      <c r="V18" s="13">
        <v>2016.8774085248299</v>
      </c>
      <c r="W18" s="13">
        <v>2666.5129227524899</v>
      </c>
      <c r="X18" s="13">
        <v>3206.7921695106302</v>
      </c>
      <c r="Y18" s="13">
        <v>3562.1964827337902</v>
      </c>
      <c r="Z18" s="13">
        <v>4451.4090185549703</v>
      </c>
      <c r="AA18" s="13">
        <v>5389.4050419861796</v>
      </c>
      <c r="AB18" s="13">
        <v>6058.1822100077798</v>
      </c>
      <c r="AC18" s="13">
        <v>6463.65760060098</v>
      </c>
      <c r="AD18" s="13">
        <v>6927.2690170427704</v>
      </c>
      <c r="AE18" s="13">
        <v>7272.8993636777104</v>
      </c>
      <c r="AF18" s="13">
        <v>7738.7633963194303</v>
      </c>
      <c r="AG18" s="13">
        <v>8728.15249581225</v>
      </c>
    </row>
    <row r="19" spans="1:33" x14ac:dyDescent="0.25">
      <c r="A19" s="8">
        <v>17</v>
      </c>
      <c r="B19" s="5" t="s">
        <v>19</v>
      </c>
      <c r="C19" s="13">
        <v>100</v>
      </c>
      <c r="D19" s="13">
        <v>137.200159109721</v>
      </c>
      <c r="E19" s="13">
        <v>167.96919377407301</v>
      </c>
      <c r="F19" s="13">
        <v>177.647105065582</v>
      </c>
      <c r="G19" s="13">
        <v>218.68859128547399</v>
      </c>
      <c r="H19" s="13">
        <v>290.75881977746599</v>
      </c>
      <c r="I19" s="13">
        <v>370.45423465921499</v>
      </c>
      <c r="J19" s="13">
        <v>469.19897441517202</v>
      </c>
      <c r="K19" s="13">
        <v>589.05407558785998</v>
      </c>
      <c r="L19" s="13">
        <v>659.57279133641805</v>
      </c>
      <c r="M19" s="13">
        <v>698.30312838059001</v>
      </c>
      <c r="N19" s="13">
        <v>806.28311531029203</v>
      </c>
      <c r="O19" s="13">
        <v>940.44600680541703</v>
      </c>
      <c r="P19" s="13">
        <v>1076.87002302924</v>
      </c>
      <c r="Q19" s="13">
        <v>1240.2275793802801</v>
      </c>
      <c r="R19" s="13">
        <v>1424.85341505171</v>
      </c>
      <c r="S19" s="13">
        <v>1838.8345495214401</v>
      </c>
      <c r="T19" s="13">
        <v>2386.73710636236</v>
      </c>
      <c r="U19" s="13">
        <v>3027.77510793192</v>
      </c>
      <c r="V19" s="13">
        <v>3920.3107990753902</v>
      </c>
      <c r="W19" s="13">
        <v>5261.9199138710501</v>
      </c>
      <c r="X19" s="13">
        <v>6099.9280688375302</v>
      </c>
      <c r="Y19" s="13">
        <v>6534.8076877695903</v>
      </c>
      <c r="Z19" s="13">
        <v>8089.7875114232302</v>
      </c>
      <c r="AA19" s="13">
        <v>9581.8858178084192</v>
      </c>
      <c r="AB19" s="13">
        <v>10542.879097545199</v>
      </c>
      <c r="AC19" s="13">
        <v>10320.114853826401</v>
      </c>
      <c r="AD19" s="13">
        <v>10116.104560617699</v>
      </c>
      <c r="AE19" s="13">
        <v>10046.5061731403</v>
      </c>
      <c r="AF19" s="13">
        <v>9915.5864404134609</v>
      </c>
      <c r="AG19" s="13">
        <v>10349.8036356295</v>
      </c>
    </row>
    <row r="20" spans="1:33" x14ac:dyDescent="0.25">
      <c r="A20" s="8">
        <v>18</v>
      </c>
      <c r="B20" s="5" t="s">
        <v>20</v>
      </c>
      <c r="C20" s="13">
        <v>100</v>
      </c>
      <c r="D20" s="13">
        <v>131.15988278437899</v>
      </c>
      <c r="E20" s="13">
        <v>153.900227467197</v>
      </c>
      <c r="F20" s="13">
        <v>174.66720096103001</v>
      </c>
      <c r="G20" s="13">
        <v>217.932747175401</v>
      </c>
      <c r="H20" s="13">
        <v>293.56839874869098</v>
      </c>
      <c r="I20" s="13">
        <v>406.08606593799499</v>
      </c>
      <c r="J20" s="13">
        <v>559.76507212138995</v>
      </c>
      <c r="K20" s="13">
        <v>737.71440475277097</v>
      </c>
      <c r="L20" s="13">
        <v>884.60819190956795</v>
      </c>
      <c r="M20" s="13">
        <v>1004.5175180515</v>
      </c>
      <c r="N20" s="13">
        <v>996.24478720025604</v>
      </c>
      <c r="O20" s="13">
        <v>1008.36672992824</v>
      </c>
      <c r="P20" s="13">
        <v>1113.0704195845699</v>
      </c>
      <c r="Q20" s="13">
        <v>1178.46749639922</v>
      </c>
      <c r="R20" s="13">
        <v>1248.0826313974401</v>
      </c>
      <c r="S20" s="13">
        <v>1517.1160213826499</v>
      </c>
      <c r="T20" s="13">
        <v>1859.0055968244501</v>
      </c>
      <c r="U20" s="13">
        <v>2209.7889500861602</v>
      </c>
      <c r="V20" s="13">
        <v>2698.7959085003199</v>
      </c>
      <c r="W20" s="13">
        <v>3422.4734531726699</v>
      </c>
      <c r="X20" s="13">
        <v>4033.6026326547199</v>
      </c>
      <c r="Y20" s="13">
        <v>4393.6217962844203</v>
      </c>
      <c r="Z20" s="13">
        <v>5331.5785727600496</v>
      </c>
      <c r="AA20" s="13">
        <v>6304.4435529664297</v>
      </c>
      <c r="AB20" s="13">
        <v>6925.2162429443497</v>
      </c>
      <c r="AC20" s="13">
        <v>7339.8430823051003</v>
      </c>
      <c r="AD20" s="13">
        <v>7816.5870068890999</v>
      </c>
      <c r="AE20" s="13">
        <v>8095.0294784588204</v>
      </c>
      <c r="AF20" s="13">
        <v>8532.5560914360703</v>
      </c>
      <c r="AG20" s="13">
        <v>9536.2578027604995</v>
      </c>
    </row>
    <row r="21" spans="1:33" x14ac:dyDescent="0.25">
      <c r="A21" s="8">
        <v>19</v>
      </c>
      <c r="B21" s="5" t="s">
        <v>21</v>
      </c>
      <c r="C21" s="13">
        <v>100</v>
      </c>
      <c r="D21" s="13">
        <v>127.759701612263</v>
      </c>
      <c r="E21" s="13">
        <v>145.980550986987</v>
      </c>
      <c r="F21" s="13">
        <v>163.56620280069399</v>
      </c>
      <c r="G21" s="13">
        <v>200.237161409463</v>
      </c>
      <c r="H21" s="13">
        <v>264.76308348266002</v>
      </c>
      <c r="I21" s="13">
        <v>330.16475183840703</v>
      </c>
      <c r="J21" s="13">
        <v>408.00843353244602</v>
      </c>
      <c r="K21" s="13">
        <v>503.70901842143701</v>
      </c>
      <c r="L21" s="13">
        <v>550.46080182967899</v>
      </c>
      <c r="M21" s="13">
        <v>567.06296546763497</v>
      </c>
      <c r="N21" s="13">
        <v>603.43424043767595</v>
      </c>
      <c r="O21" s="13">
        <v>655.650840662767</v>
      </c>
      <c r="P21" s="13">
        <v>714.31260190299702</v>
      </c>
      <c r="Q21" s="13">
        <v>779.08944710799699</v>
      </c>
      <c r="R21" s="13">
        <v>850.48996045477804</v>
      </c>
      <c r="S21" s="13">
        <v>1032.94956580809</v>
      </c>
      <c r="T21" s="13">
        <v>1264.6429868114401</v>
      </c>
      <c r="U21" s="13">
        <v>1526.49294376639</v>
      </c>
      <c r="V21" s="13">
        <v>1878.25773417302</v>
      </c>
      <c r="W21" s="13">
        <v>2400.1341246706202</v>
      </c>
      <c r="X21" s="13">
        <v>2826.5706604237998</v>
      </c>
      <c r="Y21" s="13">
        <v>3076.5478079134</v>
      </c>
      <c r="Z21" s="13">
        <v>3746.22243131506</v>
      </c>
      <c r="AA21" s="13">
        <v>4435.76717345814</v>
      </c>
      <c r="AB21" s="13">
        <v>4879.0887021713197</v>
      </c>
      <c r="AC21" s="13">
        <v>4934.69565515059</v>
      </c>
      <c r="AD21" s="13">
        <v>5013.0701016634803</v>
      </c>
      <c r="AE21" s="13">
        <v>5073.5158493413601</v>
      </c>
      <c r="AF21" s="13">
        <v>5161.5670496229004</v>
      </c>
      <c r="AG21" s="13">
        <v>5566.4746373043999</v>
      </c>
    </row>
    <row r="22" spans="1:33" x14ac:dyDescent="0.25">
      <c r="A22" s="8">
        <v>20</v>
      </c>
      <c r="B22" s="5" t="s">
        <v>22</v>
      </c>
      <c r="C22" s="13">
        <v>100</v>
      </c>
      <c r="D22" s="13">
        <v>126.401783954468</v>
      </c>
      <c r="E22" s="13">
        <v>142.81769936463999</v>
      </c>
      <c r="F22" s="13">
        <v>160.33819569959201</v>
      </c>
      <c r="G22" s="13">
        <v>195.379142558951</v>
      </c>
      <c r="H22" s="13">
        <v>257.14596572556297</v>
      </c>
      <c r="I22" s="13">
        <v>361.095871155873</v>
      </c>
      <c r="J22" s="13">
        <v>504.78920926215</v>
      </c>
      <c r="K22" s="13">
        <v>662.61138937930104</v>
      </c>
      <c r="L22" s="13">
        <v>798.24453316714801</v>
      </c>
      <c r="M22" s="13">
        <v>910.44918791971395</v>
      </c>
      <c r="N22" s="13">
        <v>915.11142264399996</v>
      </c>
      <c r="O22" s="13">
        <v>939.54208791529402</v>
      </c>
      <c r="P22" s="13">
        <v>1046.7960679006601</v>
      </c>
      <c r="Q22" s="13">
        <v>1122.15684827582</v>
      </c>
      <c r="R22" s="13">
        <v>1203.86421285846</v>
      </c>
      <c r="S22" s="13">
        <v>1559.3496189922901</v>
      </c>
      <c r="T22" s="13">
        <v>2030.69831271818</v>
      </c>
      <c r="U22" s="13">
        <v>2505.41898121336</v>
      </c>
      <c r="V22" s="13">
        <v>3208.9503031712802</v>
      </c>
      <c r="W22" s="13">
        <v>4264.0067255062104</v>
      </c>
      <c r="X22" s="13">
        <v>4982.2343340890402</v>
      </c>
      <c r="Y22" s="13">
        <v>5380.3591839905303</v>
      </c>
      <c r="Z22" s="13">
        <v>6652.8922759377001</v>
      </c>
      <c r="AA22" s="13">
        <v>7906.7161107462798</v>
      </c>
      <c r="AB22" s="13">
        <v>8729.0338692761597</v>
      </c>
      <c r="AC22" s="13">
        <v>9005.2817585891407</v>
      </c>
      <c r="AD22" s="13">
        <v>9337.9543826600093</v>
      </c>
      <c r="AE22" s="13">
        <v>9568.0982186842502</v>
      </c>
      <c r="AF22" s="13">
        <v>9901.6898814114993</v>
      </c>
      <c r="AG22" s="13">
        <v>10867.027246363599</v>
      </c>
    </row>
    <row r="23" spans="1:33" x14ac:dyDescent="0.25">
      <c r="A23" s="8">
        <v>21</v>
      </c>
      <c r="B23" s="5" t="s">
        <v>23</v>
      </c>
      <c r="C23" s="13">
        <v>100</v>
      </c>
      <c r="D23" s="13">
        <v>127.364359230907</v>
      </c>
      <c r="E23" s="13">
        <v>145.05972247792499</v>
      </c>
      <c r="F23" s="13">
        <v>163.40682867610499</v>
      </c>
      <c r="G23" s="13">
        <v>200.25304981735701</v>
      </c>
      <c r="H23" s="13">
        <v>265.06197332478598</v>
      </c>
      <c r="I23" s="13">
        <v>403.968512093382</v>
      </c>
      <c r="J23" s="13">
        <v>605.56770750588305</v>
      </c>
      <c r="K23" s="13">
        <v>822.04615791467597</v>
      </c>
      <c r="L23" s="13">
        <v>1034.87367030725</v>
      </c>
      <c r="M23" s="13">
        <v>1228.3921311310201</v>
      </c>
      <c r="N23" s="13">
        <v>1537.37510624028</v>
      </c>
      <c r="O23" s="13">
        <v>1904.9818031049999</v>
      </c>
      <c r="P23" s="13">
        <v>2326.72787139097</v>
      </c>
      <c r="Q23" s="13">
        <v>2809.7239248495498</v>
      </c>
      <c r="R23" s="13">
        <v>3361.0039233544999</v>
      </c>
      <c r="S23" s="13">
        <v>4036.8344188157798</v>
      </c>
      <c r="T23" s="13">
        <v>4885.7509284835996</v>
      </c>
      <c r="U23" s="13">
        <v>6131.7511003231702</v>
      </c>
      <c r="V23" s="13">
        <v>7649.0288201405401</v>
      </c>
      <c r="W23" s="13">
        <v>9909.3932819396196</v>
      </c>
      <c r="X23" s="13">
        <v>11220.417518448299</v>
      </c>
      <c r="Y23" s="13">
        <v>11727.4028726383</v>
      </c>
      <c r="Z23" s="13">
        <v>14086.829505875001</v>
      </c>
      <c r="AA23" s="13">
        <v>16217.344243556499</v>
      </c>
      <c r="AB23" s="13">
        <v>17330.988541877701</v>
      </c>
      <c r="AC23" s="13">
        <v>19017.034972947698</v>
      </c>
      <c r="AD23" s="13">
        <v>20916.097002118498</v>
      </c>
      <c r="AE23" s="13">
        <v>21726.122371202</v>
      </c>
      <c r="AF23" s="13">
        <v>23280.115168215299</v>
      </c>
      <c r="AG23" s="13">
        <v>26431.145961024398</v>
      </c>
    </row>
    <row r="24" spans="1:33" x14ac:dyDescent="0.25">
      <c r="A24" s="8">
        <v>22</v>
      </c>
      <c r="B24" s="5" t="s">
        <v>24</v>
      </c>
      <c r="C24" s="13">
        <v>100</v>
      </c>
      <c r="D24" s="13">
        <v>129.497867661079</v>
      </c>
      <c r="E24" s="13">
        <v>150.02907430933101</v>
      </c>
      <c r="F24" s="13">
        <v>161.476994415202</v>
      </c>
      <c r="G24" s="13">
        <v>195.054361976737</v>
      </c>
      <c r="H24" s="13">
        <v>254.45271926991799</v>
      </c>
      <c r="I24" s="13">
        <v>372.17688603139698</v>
      </c>
      <c r="J24" s="13">
        <v>539.39649176441901</v>
      </c>
      <c r="K24" s="13">
        <v>717.28144317199099</v>
      </c>
      <c r="L24" s="13">
        <v>883.04937390619796</v>
      </c>
      <c r="M24" s="13">
        <v>1027.6038410921001</v>
      </c>
      <c r="N24" s="13">
        <v>1172.6671945528201</v>
      </c>
      <c r="O24" s="13">
        <v>1354.7999748096099</v>
      </c>
      <c r="P24" s="13">
        <v>1602.7723270307999</v>
      </c>
      <c r="Q24" s="13">
        <v>1863.29621273781</v>
      </c>
      <c r="R24" s="13">
        <v>2158.4610557042402</v>
      </c>
      <c r="S24" s="13">
        <v>2552.1708066769702</v>
      </c>
      <c r="T24" s="13">
        <v>3037.89037706933</v>
      </c>
      <c r="U24" s="13">
        <v>3728.1494675047902</v>
      </c>
      <c r="V24" s="13">
        <v>4559.9891910024699</v>
      </c>
      <c r="W24" s="13">
        <v>5791.6595006100097</v>
      </c>
      <c r="X24" s="13">
        <v>6580.6641179354201</v>
      </c>
      <c r="Y24" s="13">
        <v>6903.5608769731098</v>
      </c>
      <c r="Z24" s="13">
        <v>8219.2482655106905</v>
      </c>
      <c r="AA24" s="13">
        <v>9435.8657554115198</v>
      </c>
      <c r="AB24" s="13">
        <v>10053.958603729399</v>
      </c>
      <c r="AC24" s="13">
        <v>10784.034175758599</v>
      </c>
      <c r="AD24" s="13">
        <v>11615.6649107345</v>
      </c>
      <c r="AE24" s="13">
        <v>11922.332905367201</v>
      </c>
      <c r="AF24" s="13">
        <v>12581.226358210401</v>
      </c>
      <c r="AG24" s="13">
        <v>14076.940805718799</v>
      </c>
    </row>
    <row r="25" spans="1:33" x14ac:dyDescent="0.25">
      <c r="A25" s="8">
        <v>23</v>
      </c>
      <c r="B25" s="5" t="s">
        <v>25</v>
      </c>
      <c r="C25" s="13">
        <v>100</v>
      </c>
      <c r="D25" s="13">
        <v>148.43448041853799</v>
      </c>
      <c r="E25" s="13">
        <v>194.136090694215</v>
      </c>
      <c r="F25" s="13">
        <v>213.24630368899599</v>
      </c>
      <c r="G25" s="13">
        <v>275.17819618799803</v>
      </c>
      <c r="H25" s="13">
        <v>382.453636972661</v>
      </c>
      <c r="I25" s="13">
        <v>523.367505503899</v>
      </c>
      <c r="J25" s="13">
        <v>714.02538163800705</v>
      </c>
      <c r="K25" s="13">
        <v>949.97746644396705</v>
      </c>
      <c r="L25" s="13">
        <v>1138.69364347445</v>
      </c>
      <c r="M25" s="13">
        <v>1292.5640018880999</v>
      </c>
      <c r="N25" s="13">
        <v>1429.9884557640701</v>
      </c>
      <c r="O25" s="13">
        <v>1609.2857962714199</v>
      </c>
      <c r="P25" s="13">
        <v>1865.4594188595499</v>
      </c>
      <c r="Q25" s="13">
        <v>2127.3116948521101</v>
      </c>
      <c r="R25" s="13">
        <v>2422.3781525567902</v>
      </c>
      <c r="S25" s="13">
        <v>3001.19102044699</v>
      </c>
      <c r="T25" s="13">
        <v>3748.3161132140299</v>
      </c>
      <c r="U25" s="13">
        <v>4660.7044194160899</v>
      </c>
      <c r="V25" s="13">
        <v>5876.2991237275</v>
      </c>
      <c r="W25" s="13">
        <v>7692.4292985422599</v>
      </c>
      <c r="X25" s="13">
        <v>9169.4024182207504</v>
      </c>
      <c r="Y25" s="13">
        <v>10099.3348545111</v>
      </c>
      <c r="Z25" s="13">
        <v>12514.008848638299</v>
      </c>
      <c r="AA25" s="13">
        <v>15030.366698612899</v>
      </c>
      <c r="AB25" s="13">
        <v>16766.151088950399</v>
      </c>
      <c r="AC25" s="13">
        <v>17733.5327806225</v>
      </c>
      <c r="AD25" s="13">
        <v>18848.0666259133</v>
      </c>
      <c r="AE25" s="13">
        <v>19643.058405290099</v>
      </c>
      <c r="AF25" s="13">
        <v>20747.610217213001</v>
      </c>
      <c r="AG25" s="13">
        <v>23234.7667944077</v>
      </c>
    </row>
    <row r="26" spans="1:33" x14ac:dyDescent="0.25">
      <c r="A26" s="8">
        <v>24</v>
      </c>
      <c r="B26" s="5" t="s">
        <v>26</v>
      </c>
      <c r="C26" s="13">
        <v>100</v>
      </c>
      <c r="D26" s="13">
        <v>149.48416655268099</v>
      </c>
      <c r="E26" s="13">
        <v>196.581011763818</v>
      </c>
      <c r="F26" s="13">
        <v>233.08393243002999</v>
      </c>
      <c r="G26" s="13">
        <v>310.71599421023598</v>
      </c>
      <c r="H26" s="13">
        <v>444.26328268226001</v>
      </c>
      <c r="I26" s="13">
        <v>565.077660835762</v>
      </c>
      <c r="J26" s="13">
        <v>714.34446776195796</v>
      </c>
      <c r="K26" s="13">
        <v>931.88350225350905</v>
      </c>
      <c r="L26" s="13">
        <v>1064.6853704848299</v>
      </c>
      <c r="M26" s="13">
        <v>1151.8490550793799</v>
      </c>
      <c r="N26" s="13">
        <v>1137.1922777874399</v>
      </c>
      <c r="O26" s="13">
        <v>1145.3756277094301</v>
      </c>
      <c r="P26" s="13">
        <v>1227.5055551400301</v>
      </c>
      <c r="Q26" s="13">
        <v>1275.1550003766899</v>
      </c>
      <c r="R26" s="13">
        <v>1323.2538844359799</v>
      </c>
      <c r="S26" s="13">
        <v>1642.13685399632</v>
      </c>
      <c r="T26" s="13">
        <v>2054.2445137089499</v>
      </c>
      <c r="U26" s="13">
        <v>2443.2019157086402</v>
      </c>
      <c r="V26" s="13">
        <v>3016.5404996372499</v>
      </c>
      <c r="W26" s="13">
        <v>3868.06754547828</v>
      </c>
      <c r="X26" s="13">
        <v>4238.3212445315403</v>
      </c>
      <c r="Y26" s="13">
        <v>4270.9642823413296</v>
      </c>
      <c r="Z26" s="13">
        <v>5000.4757509743204</v>
      </c>
      <c r="AA26" s="13">
        <v>5557.2315203626604</v>
      </c>
      <c r="AB26" s="13">
        <v>5713.7527389406196</v>
      </c>
      <c r="AC26" s="13">
        <v>6198.9010737953204</v>
      </c>
      <c r="AD26" s="13">
        <v>6747.9996272223898</v>
      </c>
      <c r="AE26" s="13">
        <v>6844.6308367953998</v>
      </c>
      <c r="AF26" s="13">
        <v>7218.5784355632004</v>
      </c>
      <c r="AG26" s="13">
        <v>8072.06389905379</v>
      </c>
    </row>
    <row r="27" spans="1:33" x14ac:dyDescent="0.25">
      <c r="A27" s="8">
        <v>25</v>
      </c>
      <c r="B27" s="5" t="s">
        <v>27</v>
      </c>
      <c r="C27" s="13">
        <v>100</v>
      </c>
      <c r="D27" s="13">
        <v>135.22800280997001</v>
      </c>
      <c r="E27" s="13">
        <v>163.37080210991701</v>
      </c>
      <c r="F27" s="13">
        <v>179.24140210837399</v>
      </c>
      <c r="G27" s="13">
        <v>223.04011095324401</v>
      </c>
      <c r="H27" s="13">
        <v>299.56908202864298</v>
      </c>
      <c r="I27" s="13">
        <v>408.15741626704101</v>
      </c>
      <c r="J27" s="13">
        <v>554.09433570403996</v>
      </c>
      <c r="K27" s="13">
        <v>725.492975264346</v>
      </c>
      <c r="L27" s="13">
        <v>861.42663726496903</v>
      </c>
      <c r="M27" s="13">
        <v>969.25800913898399</v>
      </c>
      <c r="N27" s="13">
        <v>1114.0157769310499</v>
      </c>
      <c r="O27" s="13">
        <v>1287.4171184598399</v>
      </c>
      <c r="P27" s="13">
        <v>1505.2816435340501</v>
      </c>
      <c r="Q27" s="13">
        <v>1737.2857509289599</v>
      </c>
      <c r="R27" s="13">
        <v>1996.6650043089401</v>
      </c>
      <c r="S27" s="13">
        <v>2487.0622979148502</v>
      </c>
      <c r="T27" s="13">
        <v>3509.2000896171699</v>
      </c>
      <c r="U27" s="13">
        <v>4377.1662413639897</v>
      </c>
      <c r="V27" s="13">
        <v>5774.7253583068896</v>
      </c>
      <c r="W27" s="13">
        <v>7848.3095684787904</v>
      </c>
      <c r="X27" s="13">
        <v>6521.8575916073696</v>
      </c>
      <c r="Y27" s="13">
        <v>6739.3505849365501</v>
      </c>
      <c r="Z27" s="13">
        <v>8111.2963421250497</v>
      </c>
      <c r="AA27" s="13">
        <v>10588.1722333946</v>
      </c>
      <c r="AB27" s="13">
        <v>12264.4570816551</v>
      </c>
      <c r="AC27" s="13">
        <v>12361.1255715692</v>
      </c>
      <c r="AD27" s="13">
        <v>11529.4225881575</v>
      </c>
      <c r="AE27" s="13">
        <v>11462.025023821299</v>
      </c>
      <c r="AF27" s="13">
        <v>11322.378135746199</v>
      </c>
      <c r="AG27" s="13">
        <v>11993.8433295377</v>
      </c>
    </row>
    <row r="28" spans="1:33" x14ac:dyDescent="0.25">
      <c r="A28" s="8">
        <v>26</v>
      </c>
      <c r="B28" s="5" t="s">
        <v>28</v>
      </c>
      <c r="C28" s="13">
        <v>100</v>
      </c>
      <c r="D28" s="13">
        <v>121.047661013812</v>
      </c>
      <c r="E28" s="13">
        <v>118.15256508535001</v>
      </c>
      <c r="F28" s="13">
        <v>126.62909305878399</v>
      </c>
      <c r="G28" s="13">
        <v>148.47948996021501</v>
      </c>
      <c r="H28" s="13">
        <v>205.39222098618501</v>
      </c>
      <c r="I28" s="13">
        <v>331.76925058405101</v>
      </c>
      <c r="J28" s="13">
        <v>437.86128086378301</v>
      </c>
      <c r="K28" s="13">
        <v>551.17621602144402</v>
      </c>
      <c r="L28" s="13">
        <v>651.76240809530805</v>
      </c>
      <c r="M28" s="13">
        <v>690.14068404123395</v>
      </c>
      <c r="N28" s="13">
        <v>779.50657487390004</v>
      </c>
      <c r="O28" s="13">
        <v>848.72203793795802</v>
      </c>
      <c r="P28" s="13">
        <v>932.13187459870596</v>
      </c>
      <c r="Q28" s="13">
        <v>1042.5717056257499</v>
      </c>
      <c r="R28" s="13">
        <v>1185.3476327313699</v>
      </c>
      <c r="S28" s="13">
        <v>1363.22916494427</v>
      </c>
      <c r="T28" s="13">
        <v>1566.3658038578101</v>
      </c>
      <c r="U28" s="13">
        <v>1906.93920332792</v>
      </c>
      <c r="V28" s="13">
        <v>2294.41660744606</v>
      </c>
      <c r="W28" s="13">
        <v>2843.0167002337798</v>
      </c>
      <c r="X28" s="13">
        <v>3355.8100086949498</v>
      </c>
      <c r="Y28" s="13">
        <v>3903.5455300325798</v>
      </c>
      <c r="Z28" s="13">
        <v>4620.53238397718</v>
      </c>
      <c r="AA28" s="13">
        <v>5444.9545970518102</v>
      </c>
      <c r="AB28" s="13">
        <v>5956.0617237076303</v>
      </c>
      <c r="AC28" s="13">
        <v>6794.7127003995201</v>
      </c>
      <c r="AD28" s="13">
        <v>7680.9184133629096</v>
      </c>
      <c r="AE28" s="13">
        <v>7999.0975369088401</v>
      </c>
      <c r="AF28" s="13">
        <v>8668.0497095753108</v>
      </c>
      <c r="AG28" s="13">
        <v>9809.02036199758</v>
      </c>
    </row>
    <row r="29" spans="1:33" x14ac:dyDescent="0.25">
      <c r="A29" s="8">
        <v>27</v>
      </c>
      <c r="B29" s="5" t="s">
        <v>29</v>
      </c>
      <c r="C29" s="13">
        <v>100</v>
      </c>
      <c r="D29" s="13">
        <v>148.610966978037</v>
      </c>
      <c r="E29" s="13">
        <v>168.14477291916</v>
      </c>
      <c r="F29" s="13">
        <v>148.371657402712</v>
      </c>
      <c r="G29" s="13">
        <v>225.23290432101001</v>
      </c>
      <c r="H29" s="13">
        <v>309.78028976922502</v>
      </c>
      <c r="I29" s="13">
        <v>348.30249473121802</v>
      </c>
      <c r="J29" s="13">
        <v>449.49578149779001</v>
      </c>
      <c r="K29" s="13">
        <v>561.30490033504395</v>
      </c>
      <c r="L29" s="13">
        <v>634.98132314328302</v>
      </c>
      <c r="M29" s="13">
        <v>704.01937586985798</v>
      </c>
      <c r="N29" s="13">
        <v>758.01165212574801</v>
      </c>
      <c r="O29" s="13">
        <v>801.94446874327696</v>
      </c>
      <c r="P29" s="13">
        <v>853.98671467193697</v>
      </c>
      <c r="Q29" s="13">
        <v>930.45531410188403</v>
      </c>
      <c r="R29" s="13">
        <v>1000.96077601385</v>
      </c>
      <c r="S29" s="13">
        <v>1101.4362862718101</v>
      </c>
      <c r="T29" s="13">
        <v>1215.95255334434</v>
      </c>
      <c r="U29" s="13">
        <v>1337.5639293859999</v>
      </c>
      <c r="V29" s="13">
        <v>1535.0807308257599</v>
      </c>
      <c r="W29" s="13">
        <v>1863.6373581784001</v>
      </c>
      <c r="X29" s="13">
        <v>2297.7401217319898</v>
      </c>
      <c r="Y29" s="13">
        <v>2508.98432785863</v>
      </c>
      <c r="Z29" s="13">
        <v>3006.0802144127101</v>
      </c>
      <c r="AA29" s="13">
        <v>3577.3152085625202</v>
      </c>
      <c r="AB29" s="13">
        <v>4032.2876112556</v>
      </c>
      <c r="AC29" s="13">
        <v>4580.1101062756097</v>
      </c>
      <c r="AD29" s="13">
        <v>5139.0625520181002</v>
      </c>
      <c r="AE29" s="13">
        <v>5488.9774554185196</v>
      </c>
      <c r="AF29" s="13">
        <v>5983.2061268979896</v>
      </c>
      <c r="AG29" s="13">
        <v>6585.3253339165003</v>
      </c>
    </row>
    <row r="30" spans="1:33" x14ac:dyDescent="0.25">
      <c r="A30" s="8">
        <v>28</v>
      </c>
      <c r="B30" s="5" t="s">
        <v>30</v>
      </c>
      <c r="C30" s="13">
        <v>100</v>
      </c>
      <c r="D30" s="13">
        <v>133.06744220298501</v>
      </c>
      <c r="E30" s="13">
        <v>133.80219502292101</v>
      </c>
      <c r="F30" s="13">
        <v>106.278769050916</v>
      </c>
      <c r="G30" s="13">
        <v>142.42167184738199</v>
      </c>
      <c r="H30" s="13">
        <v>170.930347805499</v>
      </c>
      <c r="I30" s="13">
        <v>228.82451865722899</v>
      </c>
      <c r="J30" s="13">
        <v>345.22655380489198</v>
      </c>
      <c r="K30" s="13">
        <v>438.47495547044701</v>
      </c>
      <c r="L30" s="13">
        <v>537.33559126289299</v>
      </c>
      <c r="M30" s="13">
        <v>643.02968133336299</v>
      </c>
      <c r="N30" s="13">
        <v>761.38660740696503</v>
      </c>
      <c r="O30" s="13">
        <v>881.76747556535895</v>
      </c>
      <c r="P30" s="13">
        <v>1013.67867416092</v>
      </c>
      <c r="Q30" s="13">
        <v>1194.8583529535299</v>
      </c>
      <c r="R30" s="13">
        <v>1386.94383704743</v>
      </c>
      <c r="S30" s="13">
        <v>1581.33001607402</v>
      </c>
      <c r="T30" s="13">
        <v>1807.9516352350199</v>
      </c>
      <c r="U30" s="13">
        <v>2097.51472877284</v>
      </c>
      <c r="V30" s="13">
        <v>2513.2266227906998</v>
      </c>
      <c r="W30" s="13">
        <v>3183.4762998309302</v>
      </c>
      <c r="X30" s="13">
        <v>3485.0104820157799</v>
      </c>
      <c r="Y30" s="13">
        <v>3360.1756629207798</v>
      </c>
      <c r="Z30" s="13">
        <v>3863.83397296577</v>
      </c>
      <c r="AA30" s="13">
        <v>4213.19496953821</v>
      </c>
      <c r="AB30" s="13">
        <v>4335.0095184299298</v>
      </c>
      <c r="AC30" s="13">
        <v>5058.8549237215002</v>
      </c>
      <c r="AD30" s="13">
        <v>5829.6310989757203</v>
      </c>
      <c r="AE30" s="13">
        <v>6027.8192582385</v>
      </c>
      <c r="AF30" s="13">
        <v>6551.5828504078099</v>
      </c>
      <c r="AG30" s="13">
        <v>7190.0377236274699</v>
      </c>
    </row>
    <row r="31" spans="1:33" x14ac:dyDescent="0.25">
      <c r="A31" s="8">
        <v>29</v>
      </c>
      <c r="B31" s="5" t="s">
        <v>31</v>
      </c>
      <c r="C31" s="13">
        <v>100</v>
      </c>
      <c r="D31" s="13">
        <v>123.741456072777</v>
      </c>
      <c r="E31" s="13">
        <v>152.18116544539001</v>
      </c>
      <c r="F31" s="13">
        <v>219.013510442236</v>
      </c>
      <c r="G31" s="13">
        <v>273.17262475973598</v>
      </c>
      <c r="H31" s="13">
        <v>333.79973109827</v>
      </c>
      <c r="I31" s="13">
        <v>412.81020963565402</v>
      </c>
      <c r="J31" s="13">
        <v>508.72871087854003</v>
      </c>
      <c r="K31" s="13">
        <v>589.55494688592</v>
      </c>
      <c r="L31" s="13">
        <v>668.27518606939702</v>
      </c>
      <c r="M31" s="13">
        <v>720.70973684139994</v>
      </c>
      <c r="N31" s="13">
        <v>854.05127740017201</v>
      </c>
      <c r="O31" s="13">
        <v>1000.09824003166</v>
      </c>
      <c r="P31" s="13">
        <v>1197.47026408599</v>
      </c>
      <c r="Q31" s="13">
        <v>1393.04287098329</v>
      </c>
      <c r="R31" s="13">
        <v>1585.6729405491401</v>
      </c>
      <c r="S31" s="13">
        <v>1768.51193235809</v>
      </c>
      <c r="T31" s="13">
        <v>2143.6445219759498</v>
      </c>
      <c r="U31" s="13">
        <v>2508.1748173298301</v>
      </c>
      <c r="V31" s="13">
        <v>2914.1408581084002</v>
      </c>
      <c r="W31" s="13">
        <v>3531.12625916146</v>
      </c>
      <c r="X31" s="13">
        <v>4112.0473370404998</v>
      </c>
      <c r="Y31" s="13">
        <v>4301.86727510537</v>
      </c>
      <c r="Z31" s="13">
        <v>4948.8495516084604</v>
      </c>
      <c r="AA31" s="13">
        <v>5895.3033997635403</v>
      </c>
      <c r="AB31" s="13">
        <v>6725.1198184280702</v>
      </c>
      <c r="AC31" s="13">
        <v>6844.3972268765301</v>
      </c>
      <c r="AD31" s="13">
        <v>6998.8665970807797</v>
      </c>
      <c r="AE31" s="13">
        <v>7465.5768156393497</v>
      </c>
      <c r="AF31" s="13">
        <v>7868.2765070403902</v>
      </c>
      <c r="AG31" s="13">
        <v>8562.0364644074507</v>
      </c>
    </row>
    <row r="32" spans="1:33" x14ac:dyDescent="0.25">
      <c r="A32" s="8">
        <v>30</v>
      </c>
      <c r="B32" s="5" t="s">
        <v>32</v>
      </c>
      <c r="C32" s="13">
        <v>100</v>
      </c>
      <c r="D32" s="13">
        <v>134.40837036176401</v>
      </c>
      <c r="E32" s="13">
        <v>178.55031107241501</v>
      </c>
      <c r="F32" s="13">
        <v>270.61078169690398</v>
      </c>
      <c r="G32" s="13">
        <v>358.19890586529903</v>
      </c>
      <c r="H32" s="13">
        <v>463.17367332431797</v>
      </c>
      <c r="I32" s="13">
        <v>980.71048593776004</v>
      </c>
      <c r="J32" s="13">
        <v>1771.0972074640899</v>
      </c>
      <c r="K32" s="13">
        <v>2438.5528612765202</v>
      </c>
      <c r="L32" s="13">
        <v>3440.2055895107101</v>
      </c>
      <c r="M32" s="13">
        <v>4515.54102977402</v>
      </c>
      <c r="N32" s="13">
        <v>5237.3519929210597</v>
      </c>
      <c r="O32" s="13">
        <v>6001.4721025863901</v>
      </c>
      <c r="P32" s="13">
        <v>7809.5508973304404</v>
      </c>
      <c r="Q32" s="13">
        <v>9363.3584235037906</v>
      </c>
      <c r="R32" s="13">
        <v>10980.5740124932</v>
      </c>
      <c r="S32" s="13">
        <v>11498.9623058832</v>
      </c>
      <c r="T32" s="13">
        <v>13064.2801804092</v>
      </c>
      <c r="U32" s="13">
        <v>15024.2249774709</v>
      </c>
      <c r="V32" s="13">
        <v>16734.999685205101</v>
      </c>
      <c r="W32" s="13">
        <v>19423.762518487601</v>
      </c>
      <c r="X32" s="13">
        <v>24710.8383293443</v>
      </c>
      <c r="Y32" s="13">
        <v>28144.6958349466</v>
      </c>
      <c r="Z32" s="13">
        <v>33082.2824770269</v>
      </c>
      <c r="AA32" s="13">
        <v>41492.437684458098</v>
      </c>
      <c r="AB32" s="13">
        <v>49783.896024063099</v>
      </c>
      <c r="AC32" s="13">
        <v>55670.178147880702</v>
      </c>
      <c r="AD32" s="13">
        <v>62369.797741664697</v>
      </c>
      <c r="AE32" s="13">
        <v>71202.416674139997</v>
      </c>
      <c r="AF32" s="13">
        <v>81057.639311422507</v>
      </c>
      <c r="AG32" s="13">
        <v>95150.044252635096</v>
      </c>
    </row>
    <row r="33" spans="1:33" x14ac:dyDescent="0.25">
      <c r="A33" s="8">
        <v>31</v>
      </c>
      <c r="B33" s="5" t="s">
        <v>33</v>
      </c>
      <c r="C33" s="13">
        <v>100</v>
      </c>
      <c r="D33" s="13">
        <v>133.65282667910799</v>
      </c>
      <c r="E33" s="13">
        <v>196.28408461574699</v>
      </c>
      <c r="F33" s="13">
        <v>225.306991571682</v>
      </c>
      <c r="G33" s="13">
        <v>263.443327318223</v>
      </c>
      <c r="H33" s="13">
        <v>362.44064623637701</v>
      </c>
      <c r="I33" s="13">
        <v>429.11096935897501</v>
      </c>
      <c r="J33" s="13">
        <v>604.16280344867698</v>
      </c>
      <c r="K33" s="13">
        <v>766.35382584378499</v>
      </c>
      <c r="L33" s="13">
        <v>866.10730751548897</v>
      </c>
      <c r="M33" s="13">
        <v>984.78911585480103</v>
      </c>
      <c r="N33" s="13">
        <v>1045.95336110618</v>
      </c>
      <c r="O33" s="13">
        <v>1075.05069349264</v>
      </c>
      <c r="P33" s="13">
        <v>1150.05978532832</v>
      </c>
      <c r="Q33" s="13">
        <v>1256.28647126648</v>
      </c>
      <c r="R33" s="13">
        <v>1325.5673757709301</v>
      </c>
      <c r="S33" s="13">
        <v>1616.0120379571199</v>
      </c>
      <c r="T33" s="13">
        <v>1852.4650379852701</v>
      </c>
      <c r="U33" s="13">
        <v>2327.5004788412998</v>
      </c>
      <c r="V33" s="13">
        <v>2930.8894995082201</v>
      </c>
      <c r="W33" s="13">
        <v>4013.9685891387298</v>
      </c>
      <c r="X33" s="13">
        <v>4782.6874474777796</v>
      </c>
      <c r="Y33" s="13">
        <v>5977.8316740830596</v>
      </c>
      <c r="Z33" s="13">
        <v>7417.3406116590604</v>
      </c>
      <c r="AA33" s="13">
        <v>9128.7216078388301</v>
      </c>
      <c r="AB33" s="13">
        <v>10729.1830676968</v>
      </c>
      <c r="AC33" s="13">
        <v>11956.360093880499</v>
      </c>
      <c r="AD33" s="13">
        <v>12769.748467105501</v>
      </c>
      <c r="AE33" s="13">
        <v>14717.918019343</v>
      </c>
      <c r="AF33" s="13">
        <v>15983.8256293305</v>
      </c>
      <c r="AG33" s="13">
        <v>17335.913102464699</v>
      </c>
    </row>
    <row r="34" spans="1:33" x14ac:dyDescent="0.25">
      <c r="A34" s="8">
        <v>32</v>
      </c>
      <c r="B34" s="5" t="s">
        <v>34</v>
      </c>
      <c r="C34" s="13">
        <v>100</v>
      </c>
      <c r="D34" s="13">
        <v>129.98205906264701</v>
      </c>
      <c r="E34" s="13">
        <v>185.79576162406201</v>
      </c>
      <c r="F34" s="13">
        <v>210.73205564373001</v>
      </c>
      <c r="G34" s="13">
        <v>241.911757251148</v>
      </c>
      <c r="H34" s="13">
        <v>326.97901568675701</v>
      </c>
      <c r="I34" s="13">
        <v>410.970010886029</v>
      </c>
      <c r="J34" s="13">
        <v>616.28886014207603</v>
      </c>
      <c r="K34" s="13">
        <v>799.22455466137103</v>
      </c>
      <c r="L34" s="13">
        <v>944.59085022722502</v>
      </c>
      <c r="M34" s="13">
        <v>1124.9657317650599</v>
      </c>
      <c r="N34" s="13">
        <v>1427.0582170953601</v>
      </c>
      <c r="O34" s="13">
        <v>1719.5136883003099</v>
      </c>
      <c r="P34" s="13">
        <v>2030.2021390441801</v>
      </c>
      <c r="Q34" s="13">
        <v>2496.5568641007699</v>
      </c>
      <c r="R34" s="13">
        <v>2950.2391096536398</v>
      </c>
      <c r="S34" s="13">
        <v>3251.9846053606602</v>
      </c>
      <c r="T34" s="13">
        <v>3374.7152869014299</v>
      </c>
      <c r="U34" s="13">
        <v>4271.3181429791503</v>
      </c>
      <c r="V34" s="13">
        <v>5142.5892964634104</v>
      </c>
      <c r="W34" s="13">
        <v>6738.7514059400301</v>
      </c>
      <c r="X34" s="13">
        <v>7982.3259104916797</v>
      </c>
      <c r="Y34" s="13">
        <v>9919.1710087093397</v>
      </c>
      <c r="Z34" s="13">
        <v>12010.783809197999</v>
      </c>
      <c r="AA34" s="13">
        <v>14563.441054962501</v>
      </c>
      <c r="AB34" s="13">
        <v>16866.103005869099</v>
      </c>
      <c r="AC34" s="13">
        <v>19582.096514080298</v>
      </c>
      <c r="AD34" s="13">
        <v>21816.484998095901</v>
      </c>
      <c r="AE34" s="13">
        <v>25492.600321028702</v>
      </c>
      <c r="AF34" s="13">
        <v>28495.759278479301</v>
      </c>
      <c r="AG34" s="13">
        <v>31830.8039174285</v>
      </c>
    </row>
    <row r="35" spans="1:33" x14ac:dyDescent="0.25">
      <c r="A35" s="8">
        <v>33</v>
      </c>
      <c r="B35" s="5" t="s">
        <v>35</v>
      </c>
      <c r="C35" s="13">
        <v>100</v>
      </c>
      <c r="D35" s="13">
        <v>122.85548486887301</v>
      </c>
      <c r="E35" s="13">
        <v>165.43331437097299</v>
      </c>
      <c r="F35" s="13">
        <v>174.95245146067199</v>
      </c>
      <c r="G35" s="13">
        <v>187.35373566314499</v>
      </c>
      <c r="H35" s="13">
        <v>235.373459357759</v>
      </c>
      <c r="I35" s="13">
        <v>274.43822684193299</v>
      </c>
      <c r="J35" s="13">
        <v>379.70757226959199</v>
      </c>
      <c r="K35" s="13">
        <v>451.09958832572698</v>
      </c>
      <c r="L35" s="13">
        <v>485.10496526174097</v>
      </c>
      <c r="M35" s="13">
        <v>521.12357599696497</v>
      </c>
      <c r="N35" s="13">
        <v>760.09583051215895</v>
      </c>
      <c r="O35" s="13">
        <v>1006.11578301847</v>
      </c>
      <c r="P35" s="13">
        <v>1195.30002615484</v>
      </c>
      <c r="Q35" s="13">
        <v>1523.12702164748</v>
      </c>
      <c r="R35" s="13">
        <v>1853.5295207455199</v>
      </c>
      <c r="S35" s="13">
        <v>2080.2184385217702</v>
      </c>
      <c r="T35" s="13">
        <v>2200.7752194148302</v>
      </c>
      <c r="U35" s="13">
        <v>2847.3487872164201</v>
      </c>
      <c r="V35" s="13">
        <v>3500.3814380030199</v>
      </c>
      <c r="W35" s="13">
        <v>4684.1960135199997</v>
      </c>
      <c r="X35" s="13">
        <v>5897.75144623303</v>
      </c>
      <c r="Y35" s="13">
        <v>7761.3664510748504</v>
      </c>
      <c r="Z35" s="13">
        <v>9757.0656859774408</v>
      </c>
      <c r="AA35" s="13">
        <v>12370.0265280158</v>
      </c>
      <c r="AB35" s="13">
        <v>14953.577240724901</v>
      </c>
      <c r="AC35" s="13">
        <v>17659.741561401501</v>
      </c>
      <c r="AD35" s="13">
        <v>20002.8942296395</v>
      </c>
      <c r="AE35" s="13">
        <v>24033.459709143099</v>
      </c>
      <c r="AF35" s="13">
        <v>27441.017706131901</v>
      </c>
      <c r="AG35" s="13">
        <v>31291.309666485799</v>
      </c>
    </row>
    <row r="36" spans="1:33" x14ac:dyDescent="0.25">
      <c r="A36" s="8">
        <v>34</v>
      </c>
      <c r="B36" s="5" t="s">
        <v>36</v>
      </c>
      <c r="C36" s="13">
        <v>100</v>
      </c>
      <c r="D36" s="13">
        <v>153.90137177198599</v>
      </c>
      <c r="E36" s="13">
        <v>220.32730380079099</v>
      </c>
      <c r="F36" s="13">
        <v>270.74459712886602</v>
      </c>
      <c r="G36" s="13">
        <v>381.50032649760402</v>
      </c>
      <c r="H36" s="13">
        <v>538.62944547512404</v>
      </c>
      <c r="I36" s="13">
        <v>751.49572204733602</v>
      </c>
      <c r="J36" s="13">
        <v>867.08886205282602</v>
      </c>
      <c r="K36" s="13">
        <v>1091.1527627299599</v>
      </c>
      <c r="L36" s="13">
        <v>1282.1549477701701</v>
      </c>
      <c r="M36" s="13">
        <v>1526.2313100869001</v>
      </c>
      <c r="N36" s="13">
        <v>1681.15214253932</v>
      </c>
      <c r="O36" s="13">
        <v>1820.1756881044</v>
      </c>
      <c r="P36" s="13">
        <v>2104.6998432589498</v>
      </c>
      <c r="Q36" s="13">
        <v>2343.3855727672099</v>
      </c>
      <c r="R36" s="13">
        <v>2617.0809858040402</v>
      </c>
      <c r="S36" s="13">
        <v>2824.30254512598</v>
      </c>
      <c r="T36" s="13">
        <v>3175.1331565881701</v>
      </c>
      <c r="U36" s="13">
        <v>3605.9133076173898</v>
      </c>
      <c r="V36" s="13">
        <v>4081.2950753704799</v>
      </c>
      <c r="W36" s="13">
        <v>4828.3748655033196</v>
      </c>
      <c r="X36" s="13">
        <v>5760.87738920226</v>
      </c>
      <c r="Y36" s="13">
        <v>6394.3928599597803</v>
      </c>
      <c r="Z36" s="13">
        <v>6979.2101203161801</v>
      </c>
      <c r="AA36" s="13">
        <v>8101.0944366854501</v>
      </c>
      <c r="AB36" s="13">
        <v>9069.1857967838805</v>
      </c>
      <c r="AC36" s="13">
        <v>10200.300434549001</v>
      </c>
      <c r="AD36" s="13">
        <v>11281.640794373299</v>
      </c>
      <c r="AE36" s="13">
        <v>12816.5329551758</v>
      </c>
      <c r="AF36" s="13">
        <v>14403.9311237313</v>
      </c>
      <c r="AG36" s="13">
        <v>15926.2391139307</v>
      </c>
    </row>
    <row r="37" spans="1:33" x14ac:dyDescent="0.25">
      <c r="A37" s="8">
        <v>35</v>
      </c>
      <c r="B37" s="5" t="s">
        <v>37</v>
      </c>
      <c r="C37" s="13">
        <v>100</v>
      </c>
      <c r="D37" s="13">
        <v>114.621270918547</v>
      </c>
      <c r="E37" s="13">
        <v>122.242031319888</v>
      </c>
      <c r="F37" s="13">
        <v>129.13659212135201</v>
      </c>
      <c r="G37" s="13">
        <v>143.552838074824</v>
      </c>
      <c r="H37" s="13">
        <v>156.73114353154</v>
      </c>
      <c r="I37" s="13">
        <v>263.24416562601698</v>
      </c>
      <c r="J37" s="13">
        <v>361.496175867011</v>
      </c>
      <c r="K37" s="13">
        <v>439.50673783873799</v>
      </c>
      <c r="L37" s="13">
        <v>552.62366088657495</v>
      </c>
      <c r="M37" s="13">
        <v>703.10641769402696</v>
      </c>
      <c r="N37" s="13">
        <v>809.78017518669003</v>
      </c>
      <c r="O37" s="13">
        <v>916.01068060836599</v>
      </c>
      <c r="P37" s="13">
        <v>1117.45367217484</v>
      </c>
      <c r="Q37" s="13">
        <v>1304.9080732945799</v>
      </c>
      <c r="R37" s="13">
        <v>1527.54519068634</v>
      </c>
      <c r="S37" s="13">
        <v>1719.24126395996</v>
      </c>
      <c r="T37" s="13">
        <v>2019.0798506900101</v>
      </c>
      <c r="U37" s="13">
        <v>2402.6984914012401</v>
      </c>
      <c r="V37" s="13">
        <v>2850.8224032381199</v>
      </c>
      <c r="W37" s="13">
        <v>3540.7825454154899</v>
      </c>
      <c r="X37" s="13">
        <v>3952.60475916102</v>
      </c>
      <c r="Y37" s="13">
        <v>4105.8795168841598</v>
      </c>
      <c r="Z37" s="13">
        <v>4438.7100707084901</v>
      </c>
      <c r="AA37" s="13">
        <v>4958.7975441915896</v>
      </c>
      <c r="AB37" s="13">
        <v>5341.5653823375997</v>
      </c>
      <c r="AC37" s="13">
        <v>6092.4266960883097</v>
      </c>
      <c r="AD37" s="13">
        <v>6835.7110112977598</v>
      </c>
      <c r="AE37" s="13">
        <v>7668.3696090622598</v>
      </c>
      <c r="AF37" s="13">
        <v>8625.8788657674595</v>
      </c>
      <c r="AG37" s="13">
        <v>9546.27483578791</v>
      </c>
    </row>
    <row r="38" spans="1:33" x14ac:dyDescent="0.25">
      <c r="A38" s="8">
        <v>36</v>
      </c>
      <c r="B38" s="5" t="s">
        <v>38</v>
      </c>
      <c r="C38" s="13">
        <v>100</v>
      </c>
      <c r="D38" s="13">
        <v>125.638091780314</v>
      </c>
      <c r="E38" s="13">
        <v>149.75183533316201</v>
      </c>
      <c r="F38" s="13">
        <v>168.85314044644201</v>
      </c>
      <c r="G38" s="13">
        <v>210.28955202172099</v>
      </c>
      <c r="H38" s="13">
        <v>263.84148919037102</v>
      </c>
      <c r="I38" s="13">
        <v>401.106763249979</v>
      </c>
      <c r="J38" s="13">
        <v>505.56125191009897</v>
      </c>
      <c r="K38" s="13">
        <v>625.78892152443098</v>
      </c>
      <c r="L38" s="13">
        <v>762.73965745452199</v>
      </c>
      <c r="M38" s="13">
        <v>942.24006170641803</v>
      </c>
      <c r="N38" s="13">
        <v>1043.5249474688301</v>
      </c>
      <c r="O38" s="13">
        <v>1136.0950335059699</v>
      </c>
      <c r="P38" s="13">
        <v>1343.0596263888499</v>
      </c>
      <c r="Q38" s="13">
        <v>1516.8305308475699</v>
      </c>
      <c r="R38" s="13">
        <v>1718.80616655412</v>
      </c>
      <c r="S38" s="13">
        <v>2098.9550400385401</v>
      </c>
      <c r="T38" s="13">
        <v>2657.3213591512499</v>
      </c>
      <c r="U38" s="13">
        <v>3225.5650322673901</v>
      </c>
      <c r="V38" s="13">
        <v>3996.02821717182</v>
      </c>
      <c r="W38" s="13">
        <v>5169.3044810989604</v>
      </c>
      <c r="X38" s="13">
        <v>5853.2557473412098</v>
      </c>
      <c r="Y38" s="13">
        <v>6171.6938958724804</v>
      </c>
      <c r="Z38" s="13">
        <v>6860.6802388651404</v>
      </c>
      <c r="AA38" s="13">
        <v>7836.0905533443802</v>
      </c>
      <c r="AB38" s="13">
        <v>8634.2923251632401</v>
      </c>
      <c r="AC38" s="13">
        <v>10271.0451359077</v>
      </c>
      <c r="AD38" s="13">
        <v>12004.1799378571</v>
      </c>
      <c r="AE38" s="13">
        <v>13899.6653525646</v>
      </c>
      <c r="AF38" s="13">
        <v>16198.832978045901</v>
      </c>
      <c r="AG38" s="13">
        <v>18564.090252997499</v>
      </c>
    </row>
    <row r="39" spans="1:33" x14ac:dyDescent="0.25">
      <c r="A39" s="8">
        <v>37</v>
      </c>
      <c r="B39" s="6" t="s">
        <v>39</v>
      </c>
      <c r="C39" s="13">
        <v>100</v>
      </c>
      <c r="D39" s="13">
        <v>131.15328366306801</v>
      </c>
      <c r="E39" s="13">
        <v>189.142250203163</v>
      </c>
      <c r="F39" s="13">
        <v>207.89920767213101</v>
      </c>
      <c r="G39" s="13">
        <v>236.026017541887</v>
      </c>
      <c r="H39" s="13">
        <v>315.53475147969903</v>
      </c>
      <c r="I39" s="13">
        <v>431.36082359024698</v>
      </c>
      <c r="J39" s="13">
        <v>698.61533995898299</v>
      </c>
      <c r="K39" s="13">
        <v>934.363372395949</v>
      </c>
      <c r="L39" s="13">
        <v>1159.8403151356199</v>
      </c>
      <c r="M39" s="13">
        <v>1446.7579060672899</v>
      </c>
      <c r="N39" s="13">
        <v>1395.1495978472301</v>
      </c>
      <c r="O39" s="13">
        <v>1279.98723176968</v>
      </c>
      <c r="P39" s="13">
        <v>1359.49449448973</v>
      </c>
      <c r="Q39" s="13">
        <v>1379.5340059576099</v>
      </c>
      <c r="R39" s="13">
        <v>1336.0114052527399</v>
      </c>
      <c r="S39" s="13">
        <v>1548.2094168717899</v>
      </c>
      <c r="T39" s="13">
        <v>1692.2403023785801</v>
      </c>
      <c r="U39" s="13">
        <v>1977.6615792064299</v>
      </c>
      <c r="V39" s="13">
        <v>2346.0288344706701</v>
      </c>
      <c r="W39" s="13">
        <v>3026.9567334593098</v>
      </c>
      <c r="X39" s="13">
        <v>3299.9328325314</v>
      </c>
      <c r="Y39" s="13">
        <v>3746.7479973177601</v>
      </c>
      <c r="Z39" s="13">
        <v>4272.4443554960699</v>
      </c>
      <c r="AA39" s="13">
        <v>4757.2446376704502</v>
      </c>
      <c r="AB39" s="13">
        <v>5016.8192538100802</v>
      </c>
      <c r="AC39" s="13">
        <v>5861.8753670545502</v>
      </c>
      <c r="AD39" s="13">
        <v>6571.6577845134698</v>
      </c>
      <c r="AE39" s="13">
        <v>7334.8438255797</v>
      </c>
      <c r="AF39" s="13">
        <v>8035.2611895293203</v>
      </c>
      <c r="AG39" s="13">
        <v>8794.2948340976509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2"/>
  <sheetViews>
    <sheetView zoomScale="55" zoomScaleNormal="55" workbookViewId="0">
      <selection activeCell="B4" sqref="B4:AG40"/>
    </sheetView>
  </sheetViews>
  <sheetFormatPr defaultColWidth="9" defaultRowHeight="14" x14ac:dyDescent="0.25"/>
  <sheetData>
    <row r="1" spans="1:33" x14ac:dyDescent="0.25">
      <c r="A1" s="2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s="3" t="s">
        <v>41</v>
      </c>
      <c r="B2" s="3" t="s">
        <v>2</v>
      </c>
      <c r="C2" s="10">
        <v>1987</v>
      </c>
      <c r="D2" s="10">
        <v>1988</v>
      </c>
      <c r="E2" s="10">
        <v>1989</v>
      </c>
      <c r="F2" s="10">
        <v>1990</v>
      </c>
      <c r="G2" s="10">
        <v>1991</v>
      </c>
      <c r="H2" s="10">
        <v>1992</v>
      </c>
      <c r="I2" s="10">
        <v>1993</v>
      </c>
      <c r="J2" s="10">
        <v>1994</v>
      </c>
      <c r="K2" s="10">
        <v>1995</v>
      </c>
      <c r="L2" s="10">
        <v>1996</v>
      </c>
      <c r="M2" s="10">
        <v>1997</v>
      </c>
      <c r="N2" s="10">
        <v>1998</v>
      </c>
      <c r="O2" s="10">
        <v>1999</v>
      </c>
      <c r="P2" s="10">
        <v>2000</v>
      </c>
      <c r="Q2" s="10">
        <v>2001</v>
      </c>
      <c r="R2" s="10">
        <v>2002</v>
      </c>
      <c r="S2" s="10">
        <v>2003</v>
      </c>
      <c r="T2" s="10">
        <v>2004</v>
      </c>
      <c r="U2" s="10">
        <v>2005</v>
      </c>
      <c r="V2" s="10">
        <v>2006</v>
      </c>
      <c r="W2" s="10">
        <v>2007</v>
      </c>
      <c r="X2" s="10">
        <v>2008</v>
      </c>
      <c r="Y2" s="10">
        <v>2009</v>
      </c>
      <c r="Z2" s="10">
        <v>2010</v>
      </c>
      <c r="AA2" s="10">
        <v>2011</v>
      </c>
      <c r="AB2" s="10">
        <v>2012</v>
      </c>
      <c r="AC2" s="10">
        <v>2013</v>
      </c>
      <c r="AD2" s="10">
        <v>2014</v>
      </c>
      <c r="AE2" s="10">
        <v>2015</v>
      </c>
      <c r="AF2" s="10">
        <v>2016</v>
      </c>
      <c r="AG2" s="10">
        <v>2017</v>
      </c>
    </row>
    <row r="3" spans="1:33" x14ac:dyDescent="0.25">
      <c r="A3" s="3"/>
      <c r="B3" s="3" t="s">
        <v>42</v>
      </c>
      <c r="C3" s="12">
        <f>0.620522868188795*(100)</f>
        <v>62.052286818879502</v>
      </c>
      <c r="D3" s="12">
        <f>0.650645768086477*(100)</f>
        <v>65.064576808647701</v>
      </c>
      <c r="E3" s="12">
        <f>0.685043281285526*(100)</f>
        <v>68.504328128552601</v>
      </c>
      <c r="F3" s="12">
        <f>0.725902684214205*(100)</f>
        <v>72.590268421420504</v>
      </c>
      <c r="G3" s="12">
        <f>0.758641764544799*(100)</f>
        <v>75.864176454479903</v>
      </c>
      <c r="H3" s="12">
        <f>0.787924730996627*(100)</f>
        <v>78.792473099662701</v>
      </c>
      <c r="I3" s="12">
        <f>0.816939585446735*(100)</f>
        <v>81.693958544673507</v>
      </c>
      <c r="J3" s="12">
        <f>0.851549315559175*(100)</f>
        <v>85.1549315559175</v>
      </c>
      <c r="K3" s="12">
        <f>0.889852865260654*(100)</f>
        <v>88.985286526065394</v>
      </c>
      <c r="L3" s="12">
        <f>0.947830986459922*(100)</f>
        <v>94.783098645992197</v>
      </c>
      <c r="M3" s="12">
        <f>0.946292678323805*(100)</f>
        <v>94.629267832380506</v>
      </c>
      <c r="N3" s="12">
        <f>0.918937405695316*(100)</f>
        <v>91.893740569531602</v>
      </c>
      <c r="O3" s="12">
        <f>0.944090891643248*(100)</f>
        <v>94.409089164324797</v>
      </c>
      <c r="P3" s="12">
        <f t="shared" ref="P3:P40" si="0">1*(100)</f>
        <v>100</v>
      </c>
      <c r="Q3" s="12">
        <f>1.02933290042757*(100)</f>
        <v>102.93329004275699</v>
      </c>
      <c r="R3" s="12">
        <f>1.08861961159796*(100)</f>
        <v>108.861961159796</v>
      </c>
      <c r="S3" s="12">
        <f>1.09032964125743*(100)</f>
        <v>109.03296412574301</v>
      </c>
      <c r="T3" s="12">
        <f>1.10214291284345*(100)</f>
        <v>110.21429128434499</v>
      </c>
      <c r="U3" s="12">
        <f>1.10473034410654*(100)</f>
        <v>110.47303441065399</v>
      </c>
      <c r="V3" s="12">
        <f>1.15345031070248*(100)</f>
        <v>115.345031070248</v>
      </c>
      <c r="W3" s="12">
        <f>1.20143593058933*(100)</f>
        <v>120.14359305893301</v>
      </c>
      <c r="X3" s="12">
        <f>1.24329987181434*(100)</f>
        <v>124.32998718143401</v>
      </c>
      <c r="Y3" s="12">
        <f>1.29641425216558*(100)</f>
        <v>129.64142521655799</v>
      </c>
      <c r="Z3" s="12">
        <f>1.44099402476553*(100)</f>
        <v>144.099402476553</v>
      </c>
      <c r="AA3" s="12">
        <f>1.44474029891806*(100)</f>
        <v>144.474029891806</v>
      </c>
      <c r="AB3" s="12">
        <f>1.39890127451498*(100)</f>
        <v>139.89012745149799</v>
      </c>
      <c r="AC3" s="12">
        <f>1.38513781660103*(100)</f>
        <v>138.51378166010301</v>
      </c>
      <c r="AD3" s="12">
        <f>1.47819946614924*(100)</f>
        <v>147.81994661492399</v>
      </c>
      <c r="AE3" s="12">
        <f>1.48332629429324*(100)</f>
        <v>148.33262942932399</v>
      </c>
      <c r="AF3" s="12">
        <f>1.50567980223239*(100)</f>
        <v>150.567980223239</v>
      </c>
      <c r="AG3" s="12">
        <f>1.52300678247978*(100)</f>
        <v>152.300678247978</v>
      </c>
    </row>
    <row r="4" spans="1:33" x14ac:dyDescent="0.25">
      <c r="A4" s="3">
        <v>1</v>
      </c>
      <c r="B4" s="5" t="s">
        <v>3</v>
      </c>
      <c r="C4" s="12">
        <f>0.808405981013441*(100)</f>
        <v>80.840598101344099</v>
      </c>
      <c r="D4" s="12">
        <f>0.818038074278226*(100)</f>
        <v>81.803807427822505</v>
      </c>
      <c r="E4" s="12">
        <f>0.854379148954346*(100)</f>
        <v>85.437914895434602</v>
      </c>
      <c r="F4" s="12">
        <f>0.895106060367637*(100)</f>
        <v>89.510606036763704</v>
      </c>
      <c r="G4" s="12">
        <f>0.936436839230197*(100)</f>
        <v>93.643683923019694</v>
      </c>
      <c r="H4" s="12">
        <f>0.963954255565472*(100)</f>
        <v>96.395425556547195</v>
      </c>
      <c r="I4" s="12">
        <f>0.978845531324676*(100)</f>
        <v>97.884553132467602</v>
      </c>
      <c r="J4" s="12">
        <f>0.987019800333153*(100)</f>
        <v>98.701980033315294</v>
      </c>
      <c r="K4" s="12">
        <f>0.99353027261426*(100)</f>
        <v>99.353027261426007</v>
      </c>
      <c r="L4" s="12">
        <f>1.01298553865314*(100)</f>
        <v>101.29855386531401</v>
      </c>
      <c r="M4" s="12">
        <f>0.981579092304891*(100)</f>
        <v>98.157909230489096</v>
      </c>
      <c r="N4" s="12">
        <f>0.938356907299462*(100)</f>
        <v>93.835690729946194</v>
      </c>
      <c r="O4" s="12">
        <f>0.954955253674909*(100)</f>
        <v>95.495525367490899</v>
      </c>
      <c r="P4" s="12">
        <f t="shared" si="0"/>
        <v>100</v>
      </c>
      <c r="Q4" s="12">
        <f>1.03153514401775*(100)</f>
        <v>103.153514401775</v>
      </c>
      <c r="R4" s="12">
        <f>1.09105978315848*(100)</f>
        <v>109.10597831584801</v>
      </c>
      <c r="S4" s="12">
        <f>1.07706320910168*(100)</f>
        <v>107.706320910168</v>
      </c>
      <c r="T4" s="12">
        <f>1.0440185369604*(100)</f>
        <v>104.40185369604001</v>
      </c>
      <c r="U4" s="12">
        <f>0.987546673980141*(100)</f>
        <v>98.754667398014107</v>
      </c>
      <c r="V4" s="12">
        <f>0.943035264285441*(100)</f>
        <v>94.303526428544103</v>
      </c>
      <c r="W4" s="12">
        <f>0.894743852297787*(100)</f>
        <v>89.474385229778704</v>
      </c>
      <c r="X4" s="12">
        <f>0.842638437104494*(100)</f>
        <v>84.263843710449393</v>
      </c>
      <c r="Y4" s="12">
        <f>0.797190737814185*(100)</f>
        <v>79.719073781418501</v>
      </c>
      <c r="Z4" s="12">
        <f>0.80281465737196*(100)</f>
        <v>80.281465737196001</v>
      </c>
      <c r="AA4" s="12">
        <f>0.740497166403277*(100)</f>
        <v>74.049716640327702</v>
      </c>
      <c r="AB4" s="12">
        <f>0.675041194494213*(100)</f>
        <v>67.504119449421296</v>
      </c>
      <c r="AC4" s="12">
        <f>0.608579245168499*(100)</f>
        <v>60.857924516849899</v>
      </c>
      <c r="AD4" s="12">
        <f>0.584057562140181*(100)</f>
        <v>58.405756214018098</v>
      </c>
      <c r="AE4" s="12">
        <f>0.55717801416686*(100)</f>
        <v>55.717801416686001</v>
      </c>
      <c r="AF4" s="12">
        <f>0.540978405767454*(100)</f>
        <v>54.097840576745398</v>
      </c>
      <c r="AG4" s="12">
        <f>0.536704125743805*(100)</f>
        <v>53.670412574380499</v>
      </c>
    </row>
    <row r="5" spans="1:33" x14ac:dyDescent="0.25">
      <c r="A5" s="3">
        <v>2</v>
      </c>
      <c r="B5" s="5" t="s">
        <v>4</v>
      </c>
      <c r="C5" s="12">
        <f>0.944016676262215*(100)</f>
        <v>94.401667626221496</v>
      </c>
      <c r="D5" s="12">
        <f>0.972793723712198*(100)</f>
        <v>97.279372371219793</v>
      </c>
      <c r="E5" s="12">
        <f>1.05661573030114*(100)</f>
        <v>105.661573030114</v>
      </c>
      <c r="F5" s="12">
        <f>1.13114514865103*(100)</f>
        <v>113.114514865103</v>
      </c>
      <c r="G5" s="12">
        <f>1.18420952677957*(100)</f>
        <v>118.420952677957</v>
      </c>
      <c r="H5" s="12">
        <f>1.20124862064002*(100)</f>
        <v>120.124862064002</v>
      </c>
      <c r="I5" s="12">
        <f>1.25453389627213*(100)</f>
        <v>125.453389627213</v>
      </c>
      <c r="J5" s="12">
        <f>1.25331746069824*(100)</f>
        <v>125.33174606982401</v>
      </c>
      <c r="K5" s="12">
        <f>1.29437041212877*(100)</f>
        <v>129.43704121287701</v>
      </c>
      <c r="L5" s="12">
        <f>1.33439284172144*(100)</f>
        <v>133.439284172144</v>
      </c>
      <c r="M5" s="12">
        <f>1.27740728302068*(100)</f>
        <v>127.74072830206801</v>
      </c>
      <c r="N5" s="12">
        <f>1.10549405076045*(100)</f>
        <v>110.54940507604501</v>
      </c>
      <c r="O5" s="12">
        <f>1.02096527211374*(100)</f>
        <v>102.096527211374</v>
      </c>
      <c r="P5" s="12">
        <f t="shared" si="0"/>
        <v>100</v>
      </c>
      <c r="Q5" s="12">
        <f>1.00118544995122*(100)</f>
        <v>100.11854499512199</v>
      </c>
      <c r="R5" s="12">
        <f>1.10273433127029*(100)</f>
        <v>110.27343312702899</v>
      </c>
      <c r="S5" s="12">
        <f>1.14908182603272*(100)</f>
        <v>114.908182603272</v>
      </c>
      <c r="T5" s="12">
        <f>1.31702789905484*(100)</f>
        <v>131.702789905484</v>
      </c>
      <c r="U5" s="12">
        <f>1.38606586543844*(100)</f>
        <v>138.606586543844</v>
      </c>
      <c r="V5" s="12">
        <f>1.40480217179229*(100)</f>
        <v>140.48021717922899</v>
      </c>
      <c r="W5" s="12">
        <f>1.34785159685906*(100)</f>
        <v>134.785159685906</v>
      </c>
      <c r="X5" s="12">
        <f>1.30626989077068*(100)</f>
        <v>130.626989077068</v>
      </c>
      <c r="Y5" s="12">
        <f>1.2915107390171*(100)</f>
        <v>129.15107390170999</v>
      </c>
      <c r="Z5" s="12">
        <f>1.35965212141566*(100)</f>
        <v>135.96521214156601</v>
      </c>
      <c r="AA5" s="12">
        <f>1.31219913959923*(100)</f>
        <v>131.21991395992299</v>
      </c>
      <c r="AB5" s="12">
        <f>1.29516904156471*(100)</f>
        <v>129.51690415647101</v>
      </c>
      <c r="AC5" s="12">
        <f>1.22337635337204*(100)</f>
        <v>122.33763533720401</v>
      </c>
      <c r="AD5" s="12">
        <f>1.19030070047498*(100)</f>
        <v>119.030070047498</v>
      </c>
      <c r="AE5" s="12">
        <f>1.03747860992499*(100)</f>
        <v>103.747860992499</v>
      </c>
      <c r="AF5" s="12">
        <f>0.966788410177677*(100)</f>
        <v>96.678841017767695</v>
      </c>
      <c r="AG5" s="12">
        <f>0.864339546450447*(100)</f>
        <v>86.433954645044693</v>
      </c>
    </row>
    <row r="6" spans="1:33" x14ac:dyDescent="0.25">
      <c r="A6" s="3">
        <v>3</v>
      </c>
      <c r="B6" s="5" t="s">
        <v>5</v>
      </c>
      <c r="C6" s="12">
        <f>1.05362590891404*(100)</f>
        <v>105.362590891404</v>
      </c>
      <c r="D6" s="12">
        <f>1.23309211682969*(100)</f>
        <v>123.30921168296901</v>
      </c>
      <c r="E6" s="12">
        <f>1.31400109125361*(100)</f>
        <v>131.40010912536101</v>
      </c>
      <c r="F6" s="12">
        <f>1.18860149685869*(100)</f>
        <v>118.860149685869</v>
      </c>
      <c r="G6" s="12">
        <f>1.33719485714976*(100)</f>
        <v>133.719485714976</v>
      </c>
      <c r="H6" s="12">
        <f>1.35670803382541*(100)</f>
        <v>135.67080338254101</v>
      </c>
      <c r="I6" s="12">
        <f>2.21439008756534*(100)</f>
        <v>221.43900875653401</v>
      </c>
      <c r="J6" s="12">
        <f>2.20673343315319*(100)</f>
        <v>220.67334331531899</v>
      </c>
      <c r="K6" s="12">
        <f>2.84510581850843*(100)</f>
        <v>284.51058185084298</v>
      </c>
      <c r="L6" s="12">
        <f>2.36592660182402*(100)</f>
        <v>236.592660182402</v>
      </c>
      <c r="M6" s="12">
        <f>2.23413867264477*(100)</f>
        <v>223.41386726447701</v>
      </c>
      <c r="N6" s="12">
        <f>2.32278303233941*(100)</f>
        <v>232.27830323394099</v>
      </c>
      <c r="O6" s="12">
        <f>1.87469466306721*(100)</f>
        <v>187.46946630672099</v>
      </c>
      <c r="P6" s="12">
        <f t="shared" si="0"/>
        <v>100</v>
      </c>
      <c r="Q6" s="12">
        <f>1.12891974204509*(100)</f>
        <v>112.891974204509</v>
      </c>
      <c r="R6" s="12">
        <f>1.18312985902314*(100)</f>
        <v>118.312985902314</v>
      </c>
      <c r="S6" s="12">
        <f>1.61430411095844*(100)</f>
        <v>161.43041109584399</v>
      </c>
      <c r="T6" s="12">
        <f>2.24615689115365*(100)</f>
        <v>224.615689115365</v>
      </c>
      <c r="U6" s="12">
        <f>2.05834458489312*(100)</f>
        <v>205.834458489312</v>
      </c>
      <c r="V6" s="12">
        <f>2.35412010972761*(100)</f>
        <v>235.41201097276101</v>
      </c>
      <c r="W6" s="12">
        <f>2.35587351809155*(100)</f>
        <v>235.587351809155</v>
      </c>
      <c r="X6" s="12">
        <f>2.93123612309805*(100)</f>
        <v>293.12361230980503</v>
      </c>
      <c r="Y6" s="12">
        <f>2.72137290306553*(100)</f>
        <v>272.13729030655298</v>
      </c>
      <c r="Z6" s="12">
        <f>3.05079724404355*(100)</f>
        <v>305.07972440435498</v>
      </c>
      <c r="AA6" s="12">
        <f>3.15767673705446*(100)</f>
        <v>315.76767370544599</v>
      </c>
      <c r="AB6" s="12">
        <f>2.4508477133469*(100)</f>
        <v>245.08477133469</v>
      </c>
      <c r="AC6" s="12">
        <f>2.07965994542477*(100)</f>
        <v>207.96599454247701</v>
      </c>
      <c r="AD6" s="12">
        <f>2.17852833832563*(100)</f>
        <v>217.85283383256299</v>
      </c>
      <c r="AE6" s="12">
        <f>2.0174076751295*(100)</f>
        <v>201.74076751294999</v>
      </c>
      <c r="AF6" s="12">
        <f>2.10351288621838*(100)</f>
        <v>210.35128862183799</v>
      </c>
      <c r="AG6" s="12">
        <f>2.15962352220845*(100)</f>
        <v>215.96235222084599</v>
      </c>
    </row>
    <row r="7" spans="1:33" x14ac:dyDescent="0.25">
      <c r="A7" s="3">
        <v>4</v>
      </c>
      <c r="B7" s="5" t="s">
        <v>6</v>
      </c>
      <c r="C7" s="12">
        <f>0.767731952386336*(100)</f>
        <v>76.773195238633505</v>
      </c>
      <c r="D7" s="12">
        <f>0.829247510434951*(100)</f>
        <v>82.924751043495107</v>
      </c>
      <c r="E7" s="12">
        <f>0.878104091439394*(100)</f>
        <v>87.810409143939395</v>
      </c>
      <c r="F7" s="12">
        <f>0.924346869088016*(100)</f>
        <v>92.434686908801595</v>
      </c>
      <c r="G7" s="12">
        <f>1.02371885244328*(100)</f>
        <v>102.371885244328</v>
      </c>
      <c r="H7" s="12">
        <f>1.05681316478159*(100)</f>
        <v>105.681316478159</v>
      </c>
      <c r="I7" s="12">
        <f>1.19696357311504*(100)</f>
        <v>119.696357311504</v>
      </c>
      <c r="J7" s="12">
        <f>1.24844568813092*(100)</f>
        <v>124.844568813092</v>
      </c>
      <c r="K7" s="12">
        <f>1.33286588448077*(100)</f>
        <v>133.286588448077</v>
      </c>
      <c r="L7" s="12">
        <f>1.36960043254127*(100)</f>
        <v>136.96004325412699</v>
      </c>
      <c r="M7" s="12">
        <f>1.3304312402289*(100)</f>
        <v>133.04312402289</v>
      </c>
      <c r="N7" s="12">
        <f>1.28655218968683*(100)</f>
        <v>128.65521896868299</v>
      </c>
      <c r="O7" s="12">
        <f>1.02184248075639*(100)</f>
        <v>102.184248075639</v>
      </c>
      <c r="P7" s="12">
        <f t="shared" si="0"/>
        <v>100</v>
      </c>
      <c r="Q7" s="12">
        <f>1.01472463885577*(100)</f>
        <v>101.472463885577</v>
      </c>
      <c r="R7" s="12">
        <f>1.10553217718835*(100)</f>
        <v>110.553217718835</v>
      </c>
      <c r="S7" s="12">
        <f>1.16445845961562*(100)</f>
        <v>116.445845961562</v>
      </c>
      <c r="T7" s="12">
        <f>1.24327086936955*(100)</f>
        <v>124.327086936955</v>
      </c>
      <c r="U7" s="12">
        <f>1.37150026553939*(100)</f>
        <v>137.150026553939</v>
      </c>
      <c r="V7" s="12">
        <f>1.52016499700335*(100)</f>
        <v>152.016499700335</v>
      </c>
      <c r="W7" s="12">
        <f>1.72409497991925*(100)</f>
        <v>172.40949799192501</v>
      </c>
      <c r="X7" s="12">
        <f>1.74314983033206*(100)</f>
        <v>174.314983033206</v>
      </c>
      <c r="Y7" s="12">
        <f>1.61774485610751*(100)</f>
        <v>161.77448561075099</v>
      </c>
      <c r="Z7" s="12">
        <f>1.71570169582623*(100)</f>
        <v>171.57016958262301</v>
      </c>
      <c r="AA7" s="12">
        <f>1.8021544948673*(100)</f>
        <v>180.21544948672999</v>
      </c>
      <c r="AB7" s="12">
        <f>1.78767833262594*(100)</f>
        <v>178.767833262594</v>
      </c>
      <c r="AC7" s="12">
        <f>1.74046670946578*(100)</f>
        <v>174.04667094657799</v>
      </c>
      <c r="AD7" s="12">
        <f>1.69528342330391*(100)</f>
        <v>169.52834233039101</v>
      </c>
      <c r="AE7" s="12">
        <f>1.4577595087628*(100)</f>
        <v>145.77595087628001</v>
      </c>
      <c r="AF7" s="12">
        <f>1.34114452807572*(100)</f>
        <v>134.11445280757201</v>
      </c>
      <c r="AG7" s="12">
        <f>1.19186926930813*(100)</f>
        <v>119.186926930813</v>
      </c>
    </row>
    <row r="8" spans="1:33" x14ac:dyDescent="0.25">
      <c r="A8" s="3">
        <v>5</v>
      </c>
      <c r="B8" s="5" t="s">
        <v>7</v>
      </c>
      <c r="C8" s="12">
        <f>0.816037832368957*(100)</f>
        <v>81.603783236895694</v>
      </c>
      <c r="D8" s="12">
        <f>0.805400661611741*(100)</f>
        <v>80.540066161174096</v>
      </c>
      <c r="E8" s="12">
        <f>0.769666352154786*(100)</f>
        <v>76.966635215478505</v>
      </c>
      <c r="F8" s="12">
        <f>0.821304352768652*(100)</f>
        <v>82.1304352768652</v>
      </c>
      <c r="G8" s="12">
        <f>0.910720611138268*(100)</f>
        <v>91.072061113826805</v>
      </c>
      <c r="H8" s="12">
        <f>0.90217149612923*(100)</f>
        <v>90.217149612922995</v>
      </c>
      <c r="I8" s="12">
        <f>0.877327179510498*(100)</f>
        <v>87.732717951049807</v>
      </c>
      <c r="J8" s="12">
        <f>0.969686814373572*(100)</f>
        <v>96.968681437357205</v>
      </c>
      <c r="K8" s="12">
        <f>1.03048643241215*(100)</f>
        <v>103.048643241215</v>
      </c>
      <c r="L8" s="12">
        <f>1.15317016608501*(100)</f>
        <v>115.31701660850101</v>
      </c>
      <c r="M8" s="12">
        <f>1.08191844669024*(100)</f>
        <v>108.19184466902399</v>
      </c>
      <c r="N8" s="12">
        <f>1.08270237702775*(100)</f>
        <v>108.27023770277501</v>
      </c>
      <c r="O8" s="12">
        <f>1.05993020109814*(100)</f>
        <v>105.993020109814</v>
      </c>
      <c r="P8" s="12">
        <f t="shared" si="0"/>
        <v>100</v>
      </c>
      <c r="Q8" s="12">
        <f>0.978118157945593*(100)</f>
        <v>97.811815794559294</v>
      </c>
      <c r="R8" s="12">
        <f>0.915102254254436*(100)</f>
        <v>91.510225425443593</v>
      </c>
      <c r="S8" s="12">
        <f>0.867544874782589*(100)</f>
        <v>86.754487478258895</v>
      </c>
      <c r="T8" s="12">
        <f>0.947633089681358*(100)</f>
        <v>94.763308968135803</v>
      </c>
      <c r="U8" s="12">
        <f>1.0935732717951*(100)</f>
        <v>109.357327179511</v>
      </c>
      <c r="V8" s="12">
        <f>1.13343549285528*(100)</f>
        <v>113.343549285528</v>
      </c>
      <c r="W8" s="12">
        <f>1.16244409835507*(100)</f>
        <v>116.244409835507</v>
      </c>
      <c r="X8" s="12">
        <f>1.11073243375357*(100)</f>
        <v>111.07324337535699</v>
      </c>
      <c r="Y8" s="12">
        <f>1.02061864108131*(100)</f>
        <v>102.061864108131</v>
      </c>
      <c r="Z8" s="12">
        <f>0.981778166812555*(100)</f>
        <v>98.177816681255507</v>
      </c>
      <c r="AA8" s="12">
        <f>0.929204815442154*(100)</f>
        <v>92.920481544215406</v>
      </c>
      <c r="AB8" s="12">
        <f>0.799221980970137*(100)</f>
        <v>79.922198097013606</v>
      </c>
      <c r="AC8" s="12">
        <f>0.67176509372833*(100)</f>
        <v>67.176509372832996</v>
      </c>
      <c r="AD8" s="12">
        <f>0.672170245660304*(100)</f>
        <v>67.217024566030403</v>
      </c>
      <c r="AE8" s="12">
        <f>0.619163549967601*(100)</f>
        <v>61.916354996760099</v>
      </c>
      <c r="AF8" s="12">
        <f>0.55599713528937*(100)</f>
        <v>55.599713528937002</v>
      </c>
      <c r="AG8" s="12">
        <f>0.486764809530847*(100)</f>
        <v>48.676480953084699</v>
      </c>
    </row>
    <row r="9" spans="1:33" x14ac:dyDescent="0.25">
      <c r="A9" s="3">
        <v>6</v>
      </c>
      <c r="B9" s="5" t="s">
        <v>8</v>
      </c>
      <c r="C9" s="12">
        <f>0.780981398660661*(100)</f>
        <v>78.098139866066106</v>
      </c>
      <c r="D9" s="12">
        <f>0.788065924818978*(100)</f>
        <v>78.806592481897795</v>
      </c>
      <c r="E9" s="12">
        <f>0.750545018862962*(100)</f>
        <v>75.054501886296194</v>
      </c>
      <c r="F9" s="12">
        <f>0.790233574910713*(100)</f>
        <v>79.023357491071295</v>
      </c>
      <c r="G9" s="12">
        <f>0.82618255776268*(100)</f>
        <v>82.618255776268001</v>
      </c>
      <c r="H9" s="12">
        <f>0.841482202800055*(100)</f>
        <v>84.148220280005503</v>
      </c>
      <c r="I9" s="12">
        <f>0.868897034147075*(100)</f>
        <v>86.889703414707498</v>
      </c>
      <c r="J9" s="12">
        <f>0.908460416196641*(100)</f>
        <v>90.846041619664106</v>
      </c>
      <c r="K9" s="12">
        <f>0.952058588794327*(100)</f>
        <v>95.205858879432697</v>
      </c>
      <c r="L9" s="12">
        <f>1.01200117212564*(100)</f>
        <v>101.200117212564</v>
      </c>
      <c r="M9" s="12">
        <f>1.0951203885088*(100)</f>
        <v>109.51203885088</v>
      </c>
      <c r="N9" s="12">
        <f>1.08472254803638*(100)</f>
        <v>108.47225480363799</v>
      </c>
      <c r="O9" s="12">
        <f>1.04541146982691*(100)</f>
        <v>104.541146982691</v>
      </c>
      <c r="P9" s="12">
        <f t="shared" si="0"/>
        <v>100</v>
      </c>
      <c r="Q9" s="12">
        <f>1.01272207311151*(100)</f>
        <v>101.27220731115101</v>
      </c>
      <c r="R9" s="12">
        <f>1.01683176096921*(100)</f>
        <v>101.683176096921</v>
      </c>
      <c r="S9" s="12">
        <f>0.998820050987695*(100)</f>
        <v>99.882005098769497</v>
      </c>
      <c r="T9" s="12">
        <f>1.04897835352704*(100)</f>
        <v>104.89783535270401</v>
      </c>
      <c r="U9" s="12">
        <f>1.19585807523579*(100)</f>
        <v>119.58580752357901</v>
      </c>
      <c r="V9" s="12">
        <f>1.33120246077354*(100)</f>
        <v>133.12024607735401</v>
      </c>
      <c r="W9" s="12">
        <f>1.47581869604819*(100)</f>
        <v>147.58186960481899</v>
      </c>
      <c r="X9" s="12">
        <f>1.55902373945585*(100)</f>
        <v>155.902373945585</v>
      </c>
      <c r="Y9" s="12">
        <f>1.63012326072283*(100)</f>
        <v>163.012326072283</v>
      </c>
      <c r="Z9" s="12">
        <f>1.81656348824037*(100)</f>
        <v>181.656348824037</v>
      </c>
      <c r="AA9" s="12">
        <f>1.87655151617581*(100)</f>
        <v>187.655151617581</v>
      </c>
      <c r="AB9" s="12">
        <f>1.84827921993129*(100)</f>
        <v>184.827921993129</v>
      </c>
      <c r="AC9" s="12">
        <f>1.81873907675663*(100)</f>
        <v>181.87390767566299</v>
      </c>
      <c r="AD9" s="12">
        <f>1.85179743763763*(100)</f>
        <v>185.17974376376301</v>
      </c>
      <c r="AE9" s="12">
        <f>1.73757616429363*(100)</f>
        <v>173.757616429363</v>
      </c>
      <c r="AF9" s="12">
        <f>1.7094856464656*(100)</f>
        <v>170.94856464655999</v>
      </c>
      <c r="AG9" s="12">
        <f>1.66159968918192*(100)</f>
        <v>166.15996891819199</v>
      </c>
    </row>
    <row r="10" spans="1:33" x14ac:dyDescent="0.25">
      <c r="A10" s="3">
        <v>7</v>
      </c>
      <c r="B10" s="5" t="s">
        <v>9</v>
      </c>
      <c r="C10" s="12">
        <f>0.871921955705461*(100)</f>
        <v>87.192195570546104</v>
      </c>
      <c r="D10" s="12">
        <f>0.944578672444195*(100)</f>
        <v>94.457867244419504</v>
      </c>
      <c r="E10" s="12">
        <f>1.00099415167787*(100)</f>
        <v>100.099415167787</v>
      </c>
      <c r="F10" s="12">
        <f>1.02487365161607*(100)</f>
        <v>102.487365161607</v>
      </c>
      <c r="G10" s="12">
        <f>1.07819779810006*(100)</f>
        <v>107.819779810006</v>
      </c>
      <c r="H10" s="12">
        <f>1.12346125530399*(100)</f>
        <v>112.34612553039899</v>
      </c>
      <c r="I10" s="12">
        <f>1.18181293546706*(100)</f>
        <v>118.181293546706</v>
      </c>
      <c r="J10" s="12">
        <f>1.09124373164587*(100)</f>
        <v>109.124373164587</v>
      </c>
      <c r="K10" s="12">
        <f>1.19671960319914*(100)</f>
        <v>119.67196031991401</v>
      </c>
      <c r="L10" s="12">
        <f>1.16785859728586*(100)</f>
        <v>116.785859728586</v>
      </c>
      <c r="M10" s="12">
        <f>1.14790079791478*(100)</f>
        <v>114.79007979147799</v>
      </c>
      <c r="N10" s="12">
        <f>1.24503373924161*(100)</f>
        <v>124.503373924161</v>
      </c>
      <c r="O10" s="12">
        <f>1.03904738073159*(100)</f>
        <v>103.904738073159</v>
      </c>
      <c r="P10" s="12">
        <f t="shared" si="0"/>
        <v>100</v>
      </c>
      <c r="Q10" s="12">
        <f>0.975561158318713*(100)</f>
        <v>97.556115831871296</v>
      </c>
      <c r="R10" s="12">
        <f>1.00133527070248*(100)</f>
        <v>100.13352707024799</v>
      </c>
      <c r="S10" s="12">
        <f>0.945363947130289*(100)</f>
        <v>94.536394713028898</v>
      </c>
      <c r="T10" s="12">
        <f>0.914248985579777*(100)</f>
        <v>91.424898557977698</v>
      </c>
      <c r="U10" s="12">
        <f>0.935813315370846*(100)</f>
        <v>93.581331537084694</v>
      </c>
      <c r="V10" s="12">
        <f>0.941785702019448*(100)</f>
        <v>94.178570201944794</v>
      </c>
      <c r="W10" s="12">
        <f>0.955870646731297*(100)</f>
        <v>95.587064673129703</v>
      </c>
      <c r="X10" s="12">
        <f>1.01464662288661*(100)</f>
        <v>101.464662288661</v>
      </c>
      <c r="Y10" s="12">
        <f>1.06323225228976*(100)</f>
        <v>106.323225228976</v>
      </c>
      <c r="Z10" s="12">
        <f>1.24308094964733*(100)</f>
        <v>124.308094964733</v>
      </c>
      <c r="AA10" s="12">
        <f>1.16211915287529*(100)</f>
        <v>116.211915287529</v>
      </c>
      <c r="AB10" s="12">
        <f>1.1791164596705*(100)</f>
        <v>117.91164596705001</v>
      </c>
      <c r="AC10" s="12">
        <f>1.11456902999067*(100)</f>
        <v>111.456902999067</v>
      </c>
      <c r="AD10" s="12">
        <f>1.26476864303086*(100)</f>
        <v>126.476864303086</v>
      </c>
      <c r="AE10" s="12">
        <f>1.22618551127317*(100)</f>
        <v>122.61855112731701</v>
      </c>
      <c r="AF10" s="12">
        <f>1.29835625022342*(100)</f>
        <v>129.83562502234199</v>
      </c>
      <c r="AG10" s="12">
        <f>1.16010771884596*(100)</f>
        <v>116.010771884596</v>
      </c>
    </row>
    <row r="11" spans="1:33" x14ac:dyDescent="0.25">
      <c r="A11" s="3">
        <v>8</v>
      </c>
      <c r="B11" s="5" t="s">
        <v>10</v>
      </c>
      <c r="C11" s="12">
        <f>1.14325493326403*(100)</f>
        <v>114.32549332640301</v>
      </c>
      <c r="D11" s="12">
        <f>1.19151919227053*(100)</f>
        <v>119.151919227053</v>
      </c>
      <c r="E11" s="12">
        <f>1.19713710942042*(100)</f>
        <v>119.713710942042</v>
      </c>
      <c r="F11" s="12">
        <f>1.22340453595516*(100)</f>
        <v>122.340453595516</v>
      </c>
      <c r="G11" s="12">
        <f>1.29131489549209*(100)</f>
        <v>129.13148954920899</v>
      </c>
      <c r="H11" s="12">
        <f>1.2935698785846*(100)</f>
        <v>129.35698785846</v>
      </c>
      <c r="I11" s="12">
        <f>1.25820631141238*(100)</f>
        <v>125.820631141238</v>
      </c>
      <c r="J11" s="12">
        <f>1.28454896918548*(100)</f>
        <v>128.454896918548</v>
      </c>
      <c r="K11" s="12">
        <f>1.27229507059524*(100)</f>
        <v>127.229507059524</v>
      </c>
      <c r="L11" s="12">
        <f>1.25039398697229*(100)</f>
        <v>125.039398697229</v>
      </c>
      <c r="M11" s="12">
        <f>1.13343286002788*(100)</f>
        <v>113.34328600278801</v>
      </c>
      <c r="N11" s="12">
        <f>1.03853598056103*(100)</f>
        <v>103.853598056103</v>
      </c>
      <c r="O11" s="12">
        <f>1.01297592307264*(100)</f>
        <v>101.297592307264</v>
      </c>
      <c r="P11" s="12">
        <f t="shared" si="0"/>
        <v>100</v>
      </c>
      <c r="Q11" s="12">
        <f>1.09519878144934*(100)</f>
        <v>109.519878144934</v>
      </c>
      <c r="R11" s="12">
        <f>1.1599513830335*(100)</f>
        <v>115.99513830335</v>
      </c>
      <c r="S11" s="12">
        <f>1.20314486116905*(100)</f>
        <v>120.314486116905</v>
      </c>
      <c r="T11" s="12">
        <f>1.37543319026371*(100)</f>
        <v>137.54331902637099</v>
      </c>
      <c r="U11" s="12">
        <f>1.44455897396315*(100)</f>
        <v>144.45589739631501</v>
      </c>
      <c r="V11" s="12">
        <f>1.49183252549313*(100)</f>
        <v>149.18325254931301</v>
      </c>
      <c r="W11" s="12">
        <f>1.51996803160884*(100)</f>
        <v>151.99680316088401</v>
      </c>
      <c r="X11" s="12">
        <f>1.48495130975632*(100)</f>
        <v>148.49513097563201</v>
      </c>
      <c r="Y11" s="12">
        <f>1.43803535086579*(100)</f>
        <v>143.80353508657899</v>
      </c>
      <c r="Z11" s="12">
        <f>1.48048530987942*(100)</f>
        <v>148.048530987942</v>
      </c>
      <c r="AA11" s="12">
        <f>1.40244608997851*(100)</f>
        <v>140.244608997851</v>
      </c>
      <c r="AB11" s="12">
        <f>1.27374791282165*(100)</f>
        <v>127.37479128216501</v>
      </c>
      <c r="AC11" s="12">
        <f>1.14992413369275*(100)</f>
        <v>114.992413369275</v>
      </c>
      <c r="AD11" s="12">
        <f>1.13508013103914*(100)</f>
        <v>113.508013103914</v>
      </c>
      <c r="AE11" s="12">
        <f>1.02373203609927*(100)</f>
        <v>102.373203609927</v>
      </c>
      <c r="AF11" s="12">
        <f>0.983295733997973*(100)</f>
        <v>98.329573399797297</v>
      </c>
      <c r="AG11" s="12">
        <f>0.939060449765562*(100)</f>
        <v>93.906044976556203</v>
      </c>
    </row>
    <row r="12" spans="1:33" x14ac:dyDescent="0.25">
      <c r="A12" s="3">
        <v>9</v>
      </c>
      <c r="B12" s="5" t="s">
        <v>11</v>
      </c>
      <c r="C12" s="12">
        <f>0.49104456827395*(100)</f>
        <v>49.104456827394998</v>
      </c>
      <c r="D12" s="12">
        <f>0.470701890960719*(100)</f>
        <v>47.0701890960719</v>
      </c>
      <c r="E12" s="12">
        <f>0.450117067075783*(100)</f>
        <v>45.011706707578298</v>
      </c>
      <c r="F12" s="12">
        <f>0.495940570904153*(100)</f>
        <v>49.594057090415298</v>
      </c>
      <c r="G12" s="12">
        <f>0.555868595127089*(100)</f>
        <v>55.586859512708898</v>
      </c>
      <c r="H12" s="12">
        <f>0.596056795345346*(100)</f>
        <v>59.605679534534602</v>
      </c>
      <c r="I12" s="12">
        <f>0.603815685953341*(100)</f>
        <v>60.381568595334102</v>
      </c>
      <c r="J12" s="12">
        <f>0.614941123495047*(100)</f>
        <v>61.494112349504697</v>
      </c>
      <c r="K12" s="12">
        <f>0.700889556032096*(100)</f>
        <v>70.088955603209598</v>
      </c>
      <c r="L12" s="12">
        <f>0.758201717259729*(100)</f>
        <v>75.820171725972898</v>
      </c>
      <c r="M12" s="12">
        <f>0.774124110909634*(100)</f>
        <v>77.412411090963403</v>
      </c>
      <c r="N12" s="12">
        <f>0.902210186180852*(100)</f>
        <v>90.221018618085196</v>
      </c>
      <c r="O12" s="12">
        <f>0.948337925445465*(100)</f>
        <v>94.833792544546498</v>
      </c>
      <c r="P12" s="12">
        <f t="shared" si="0"/>
        <v>100</v>
      </c>
      <c r="Q12" s="12">
        <f>1.05099417576885*(100)</f>
        <v>105.099417576885</v>
      </c>
      <c r="R12" s="12">
        <f>1.13736673438295*(100)</f>
        <v>113.736673438295</v>
      </c>
      <c r="S12" s="12">
        <f>1.20525795114434*(100)</f>
        <v>120.525795114434</v>
      </c>
      <c r="T12" s="12">
        <f>1.41324189910323*(100)</f>
        <v>141.32418991032301</v>
      </c>
      <c r="U12" s="12">
        <f>1.63649542065058*(100)</f>
        <v>163.649542065058</v>
      </c>
      <c r="V12" s="12">
        <f>1.75086163082612*(100)</f>
        <v>175.08616308261199</v>
      </c>
      <c r="W12" s="12">
        <f>1.86167399265991*(100)</f>
        <v>186.16739926599101</v>
      </c>
      <c r="X12" s="12">
        <f>1.88290542771984*(100)</f>
        <v>188.29054277198401</v>
      </c>
      <c r="Y12" s="12">
        <f>1.89022156559142*(100)</f>
        <v>189.02215655914199</v>
      </c>
      <c r="Z12" s="12">
        <f>2.03850455717483*(100)</f>
        <v>203.85045571748299</v>
      </c>
      <c r="AA12" s="12">
        <f>2.04055940292983*(100)</f>
        <v>204.055940292983</v>
      </c>
      <c r="AB12" s="12">
        <f>1.95255730728282*(100)</f>
        <v>195.255730728282</v>
      </c>
      <c r="AC12" s="12">
        <f>1.84949718367867*(100)</f>
        <v>184.94971836786701</v>
      </c>
      <c r="AD12" s="12">
        <f>1.82686874916661*(100)</f>
        <v>182.686874916661</v>
      </c>
      <c r="AE12" s="12">
        <f>1.65706013956986*(100)</f>
        <v>165.706013956986</v>
      </c>
      <c r="AF12" s="12">
        <f>1.61327714192539*(100)</f>
        <v>161.32771419253899</v>
      </c>
      <c r="AG12" s="12">
        <f>1.55926869961378*(100)</f>
        <v>155.926869961378</v>
      </c>
    </row>
    <row r="13" spans="1:33" x14ac:dyDescent="0.25">
      <c r="A13" s="3">
        <v>10</v>
      </c>
      <c r="B13" s="5" t="s">
        <v>12</v>
      </c>
      <c r="C13" s="12">
        <f>0.437611282772968*(100)</f>
        <v>43.761128277296798</v>
      </c>
      <c r="D13" s="12">
        <f>0.403649463089302*(100)</f>
        <v>40.3649463089302</v>
      </c>
      <c r="E13" s="12">
        <f>0.390439012451433*(100)</f>
        <v>39.043901245143303</v>
      </c>
      <c r="F13" s="12">
        <f>0.414857894575825*(100)</f>
        <v>41.485789457582499</v>
      </c>
      <c r="G13" s="12">
        <f>0.482515679016123*(100)</f>
        <v>48.251567901612297</v>
      </c>
      <c r="H13" s="12">
        <f>0.48489399455441*(100)</f>
        <v>48.489399455441003</v>
      </c>
      <c r="I13" s="12">
        <f>0.560753204637929*(100)</f>
        <v>56.075320463792899</v>
      </c>
      <c r="J13" s="12">
        <f>0.615242451127359*(100)</f>
        <v>61.524245112735898</v>
      </c>
      <c r="K13" s="12">
        <f>0.669599840915349*(100)</f>
        <v>66.959984091534807</v>
      </c>
      <c r="L13" s="12">
        <f>0.705706855936611*(100)</f>
        <v>70.570685593661096</v>
      </c>
      <c r="M13" s="12">
        <f>0.761358032245235*(100)</f>
        <v>76.135803224523499</v>
      </c>
      <c r="N13" s="12">
        <f>0.91554134671276*(100)</f>
        <v>91.554134671276003</v>
      </c>
      <c r="O13" s="12">
        <f>0.945321075656989*(100)</f>
        <v>94.532107565698894</v>
      </c>
      <c r="P13" s="12">
        <f t="shared" si="0"/>
        <v>100</v>
      </c>
      <c r="Q13" s="12">
        <f>1.01757457093034*(100)</f>
        <v>101.75745709303401</v>
      </c>
      <c r="R13" s="12">
        <f>1.11259063236149*(100)</f>
        <v>111.259063236149</v>
      </c>
      <c r="S13" s="12">
        <f>1.22911126747637*(100)</f>
        <v>122.911126747637</v>
      </c>
      <c r="T13" s="12">
        <f>1.49227980542723*(100)</f>
        <v>149.227980542723</v>
      </c>
      <c r="U13" s="12">
        <f>1.65865114571542*(100)</f>
        <v>165.86511457154199</v>
      </c>
      <c r="V13" s="12">
        <f>1.72337320647352*(100)</f>
        <v>172.33732064735199</v>
      </c>
      <c r="W13" s="12">
        <f>1.76985590601768*(100)</f>
        <v>176.985590601768</v>
      </c>
      <c r="X13" s="12">
        <f>1.75342705050938*(100)</f>
        <v>175.34270505093801</v>
      </c>
      <c r="Y13" s="12">
        <f>1.76723651604613*(100)</f>
        <v>176.723651604613</v>
      </c>
      <c r="Z13" s="12">
        <f>1.97742925321993*(100)</f>
        <v>197.742925321993</v>
      </c>
      <c r="AA13" s="12">
        <f>2.02395753663536*(100)</f>
        <v>202.395753663536</v>
      </c>
      <c r="AB13" s="12">
        <f>2.00570777373268*(100)</f>
        <v>200.57077737326799</v>
      </c>
      <c r="AC13" s="12">
        <f>1.99018753632943*(100)</f>
        <v>199.018753632943</v>
      </c>
      <c r="AD13" s="12">
        <f>1.98286658304525*(100)</f>
        <v>198.28665830452499</v>
      </c>
      <c r="AE13" s="12">
        <f>1.80921589622786*(100)</f>
        <v>180.921589622786</v>
      </c>
      <c r="AF13" s="12">
        <f>1.74257074678007*(100)</f>
        <v>174.257074678007</v>
      </c>
      <c r="AG13" s="12">
        <f>1.65330712515679*(100)</f>
        <v>165.33071251567901</v>
      </c>
    </row>
    <row r="14" spans="1:33" x14ac:dyDescent="0.25">
      <c r="A14" s="3">
        <v>11</v>
      </c>
      <c r="B14" s="5" t="s">
        <v>13</v>
      </c>
      <c r="C14" s="12">
        <f>0.611924602348372*(100)</f>
        <v>61.192460234837199</v>
      </c>
      <c r="D14" s="12">
        <f>0.627788544003266*(100)</f>
        <v>62.778854400326601</v>
      </c>
      <c r="E14" s="12">
        <f>0.604224671695648*(100)</f>
        <v>60.422467169564797</v>
      </c>
      <c r="F14" s="12">
        <f>0.629674472186832*(100)</f>
        <v>62.967447218683198</v>
      </c>
      <c r="G14" s="12">
        <f>0.653545244103135*(100)</f>
        <v>65.354524410313502</v>
      </c>
      <c r="H14" s="12">
        <f>0.665224278623443*(100)</f>
        <v>66.522427862344301</v>
      </c>
      <c r="I14" s="12">
        <f>0.719935211687315*(100)</f>
        <v>71.993521168731505</v>
      </c>
      <c r="J14" s="12">
        <f>0.765292085384045*(100)</f>
        <v>76.529208538404504</v>
      </c>
      <c r="K14" s="12">
        <f>0.811031199534572*(100)</f>
        <v>81.103119953457195</v>
      </c>
      <c r="L14" s="12">
        <f>0.90190068343534*(100)</f>
        <v>90.190068343533994</v>
      </c>
      <c r="M14" s="12">
        <f>0.977022727179727*(100)</f>
        <v>97.702272717972704</v>
      </c>
      <c r="N14" s="12">
        <f>0.918812657165696*(100)</f>
        <v>91.881265716569601</v>
      </c>
      <c r="O14" s="12">
        <f>0.95017081671161*(100)</f>
        <v>95.017081671160994</v>
      </c>
      <c r="P14" s="12">
        <f t="shared" si="0"/>
        <v>100</v>
      </c>
      <c r="Q14" s="12">
        <f>1.11805188312396*(100)</f>
        <v>111.805188312396</v>
      </c>
      <c r="R14" s="12">
        <f>1.20541934160767*(100)</f>
        <v>120.541934160767</v>
      </c>
      <c r="S14" s="12">
        <f>1.3607952719648*(100)</f>
        <v>136.07952719648</v>
      </c>
      <c r="T14" s="12">
        <f>1.71694468561806*(100)</f>
        <v>171.69446856180599</v>
      </c>
      <c r="U14" s="12">
        <f>2.06191236246986*(100)</f>
        <v>206.19123624698599</v>
      </c>
      <c r="V14" s="12">
        <f>2.23597258170931*(100)</f>
        <v>223.59725817093101</v>
      </c>
      <c r="W14" s="12">
        <f>2.40381272817384*(100)</f>
        <v>240.381272817384</v>
      </c>
      <c r="X14" s="12">
        <f>2.4177503031085*(100)</f>
        <v>241.77503031085001</v>
      </c>
      <c r="Y14" s="12">
        <f>2.30701562877231*(100)</f>
        <v>230.701562877231</v>
      </c>
      <c r="Z14" s="12">
        <f>2.3705103896951*(100)</f>
        <v>237.05103896951101</v>
      </c>
      <c r="AA14" s="12">
        <f>2.38546157580793*(100)</f>
        <v>238.54615758079299</v>
      </c>
      <c r="AB14" s="12">
        <f>2.26668348396287*(100)</f>
        <v>226.668348396287</v>
      </c>
      <c r="AC14" s="12">
        <f>2.12632782221871*(100)</f>
        <v>212.632782221871</v>
      </c>
      <c r="AD14" s="12">
        <f>2.19568280108115*(100)</f>
        <v>219.568280108115</v>
      </c>
      <c r="AE14" s="12">
        <f>2.10768132411174*(100)</f>
        <v>210.76813241117401</v>
      </c>
      <c r="AF14" s="12">
        <f>2.06977934279194*(100)</f>
        <v>206.97793427919399</v>
      </c>
      <c r="AG14" s="12">
        <f>2.05539381478139*(100)</f>
        <v>205.53938147813901</v>
      </c>
    </row>
    <row r="15" spans="1:33" x14ac:dyDescent="0.25">
      <c r="A15" s="3">
        <v>12</v>
      </c>
      <c r="B15" s="5" t="s">
        <v>14</v>
      </c>
      <c r="C15" s="12">
        <f>0.741971985166865*(100)</f>
        <v>74.197198516686498</v>
      </c>
      <c r="D15" s="12">
        <f>0.777233223525057*(100)</f>
        <v>77.723322352505704</v>
      </c>
      <c r="E15" s="12">
        <f>0.79041335327186*(100)</f>
        <v>79.041335327186005</v>
      </c>
      <c r="F15" s="12">
        <f>0.826632636817949*(100)</f>
        <v>82.663263681794902</v>
      </c>
      <c r="G15" s="12">
        <f>0.886320008657106*(100)</f>
        <v>88.632000865710594</v>
      </c>
      <c r="H15" s="12">
        <f>0.914793966373731*(100)</f>
        <v>91.4793966373731</v>
      </c>
      <c r="I15" s="12">
        <f>0.811314499946285*(100)</f>
        <v>81.131449994628497</v>
      </c>
      <c r="J15" s="12">
        <f>0.872151447595105*(100)</f>
        <v>87.215144759510494</v>
      </c>
      <c r="K15" s="12">
        <f>0.894538769953884*(100)</f>
        <v>89.453876995388399</v>
      </c>
      <c r="L15" s="12">
        <f>0.975727953590386*(100)</f>
        <v>97.572795359038594</v>
      </c>
      <c r="M15" s="12">
        <f>0.985070805557799*(100)</f>
        <v>98.507080555779893</v>
      </c>
      <c r="N15" s="12">
        <f>0.945583739069816*(100)</f>
        <v>94.5583739069816</v>
      </c>
      <c r="O15" s="12">
        <f>0.967882647600123*(100)</f>
        <v>96.788264760012297</v>
      </c>
      <c r="P15" s="12">
        <f t="shared" si="0"/>
        <v>100</v>
      </c>
      <c r="Q15" s="12">
        <f>1.05630823844367*(100)</f>
        <v>105.630823844367</v>
      </c>
      <c r="R15" s="12">
        <f>1.1230398987495*(100)</f>
        <v>112.30398987495001</v>
      </c>
      <c r="S15" s="12">
        <f>1.16103334005095*(100)</f>
        <v>116.10333400509499</v>
      </c>
      <c r="T15" s="12">
        <f>1.29258272672168*(100)</f>
        <v>129.258272672168</v>
      </c>
      <c r="U15" s="12">
        <f>1.3806323137448*(100)</f>
        <v>138.06323137448001</v>
      </c>
      <c r="V15" s="12">
        <f>1.43355122473737*(100)</f>
        <v>143.355122473737</v>
      </c>
      <c r="W15" s="12">
        <f>1.47278794874429*(100)</f>
        <v>147.278794874429</v>
      </c>
      <c r="X15" s="12">
        <f>1.43674353245983*(100)</f>
        <v>143.67435324598301</v>
      </c>
      <c r="Y15" s="12">
        <f>1.44392308820289*(100)</f>
        <v>144.392308820289</v>
      </c>
      <c r="Z15" s="12">
        <f>1.53955920903538*(100)</f>
        <v>153.95592090353799</v>
      </c>
      <c r="AA15" s="12">
        <f>1.51224953009324*(100)</f>
        <v>151.224953009324</v>
      </c>
      <c r="AB15" s="12">
        <f>1.44962901479157*(100)</f>
        <v>144.96290147915701</v>
      </c>
      <c r="AC15" s="12">
        <f>1.38074288004027*(100)</f>
        <v>138.07428800402701</v>
      </c>
      <c r="AD15" s="12">
        <f>1.41711585857865*(100)</f>
        <v>141.711585857865</v>
      </c>
      <c r="AE15" s="12">
        <f>1.34940537289463*(100)</f>
        <v>134.94053728946301</v>
      </c>
      <c r="AF15" s="12">
        <f>1.33371652526989*(100)</f>
        <v>133.37165252698901</v>
      </c>
      <c r="AG15" s="12">
        <f>1.31512570446805*(100)</f>
        <v>131.512570446805</v>
      </c>
    </row>
    <row r="16" spans="1:33" x14ac:dyDescent="0.25">
      <c r="A16" s="3">
        <v>13</v>
      </c>
      <c r="B16" s="5" t="s">
        <v>15</v>
      </c>
      <c r="C16" s="12">
        <f>0.499557257695615*(100)</f>
        <v>49.955725769561496</v>
      </c>
      <c r="D16" s="12">
        <f>0.580852506901128*(100)</f>
        <v>58.085250690112801</v>
      </c>
      <c r="E16" s="12">
        <f>0.648056417804043*(100)</f>
        <v>64.805641780404301</v>
      </c>
      <c r="F16" s="12">
        <f>0.704467740853698*(100)</f>
        <v>70.446774085369796</v>
      </c>
      <c r="G16" s="12">
        <f>0.806182868020591*(100)</f>
        <v>80.618286802059103</v>
      </c>
      <c r="H16" s="12">
        <f>0.868532288536855*(100)</f>
        <v>86.853228853685494</v>
      </c>
      <c r="I16" s="12">
        <f>0.909164351218615*(100)</f>
        <v>90.916435121861497</v>
      </c>
      <c r="J16" s="12">
        <f>0.976582511716657*(100)</f>
        <v>97.658251171665697</v>
      </c>
      <c r="K16" s="12">
        <f>1.06142248769176*(100)</f>
        <v>106.14224876917601</v>
      </c>
      <c r="L16" s="12">
        <f>1.10656411624491*(100)</f>
        <v>110.656411624491</v>
      </c>
      <c r="M16" s="12">
        <f>1.12629874215969*(100)</f>
        <v>112.629874215969</v>
      </c>
      <c r="N16" s="12">
        <f>1.16347703806529*(100)</f>
        <v>116.347703806529</v>
      </c>
      <c r="O16" s="12">
        <f>1.03661761458736*(100)</f>
        <v>103.661761458736</v>
      </c>
      <c r="P16" s="12">
        <f t="shared" si="0"/>
        <v>100</v>
      </c>
      <c r="Q16" s="12">
        <f>0.973573371254683*(100)</f>
        <v>97.357337125468305</v>
      </c>
      <c r="R16" s="12">
        <f>0.98646979517799*(100)</f>
        <v>98.646979517798997</v>
      </c>
      <c r="S16" s="12">
        <f>1.02827069754333*(100)</f>
        <v>102.827069754333</v>
      </c>
      <c r="T16" s="12">
        <f>1.08153466917165*(100)</f>
        <v>108.15346691716501</v>
      </c>
      <c r="U16" s="12">
        <f>1.13415204863458*(100)</f>
        <v>113.415204863458</v>
      </c>
      <c r="V16" s="12">
        <f>1.21320359288206*(100)</f>
        <v>121.32035928820601</v>
      </c>
      <c r="W16" s="12">
        <f>1.32077150955155*(100)</f>
        <v>132.07715095515499</v>
      </c>
      <c r="X16" s="12">
        <f>1.42860168038603*(100)</f>
        <v>142.86016803860301</v>
      </c>
      <c r="Y16" s="12">
        <f>1.47285631712256*(100)</f>
        <v>147.28563171225599</v>
      </c>
      <c r="Z16" s="12">
        <f>1.71922074340013*(100)</f>
        <v>171.92207434001301</v>
      </c>
      <c r="AA16" s="12">
        <f>1.80482562735642*(100)</f>
        <v>180.48256273564201</v>
      </c>
      <c r="AB16" s="12">
        <f>1.67981027267651*(100)</f>
        <v>167.981027267651</v>
      </c>
      <c r="AC16" s="12">
        <f>1.73717686405814*(100)</f>
        <v>173.71768640581399</v>
      </c>
      <c r="AD16" s="12">
        <f>1.88707998827392*(100)</f>
        <v>188.707998827392</v>
      </c>
      <c r="AE16" s="12">
        <f>1.80981222451067*(100)</f>
        <v>180.981222451067</v>
      </c>
      <c r="AF16" s="12">
        <f>1.76805578477675*(100)</f>
        <v>176.805578477675</v>
      </c>
      <c r="AG16" s="12">
        <f>1.70137464891477*(100)</f>
        <v>170.13746489147701</v>
      </c>
    </row>
    <row r="17" spans="1:33" x14ac:dyDescent="0.25">
      <c r="A17" s="3">
        <v>14</v>
      </c>
      <c r="B17" s="5" t="s">
        <v>16</v>
      </c>
      <c r="C17" s="12">
        <f>0.729824145295296*(100)</f>
        <v>72.982414529529606</v>
      </c>
      <c r="D17" s="12">
        <f>0.816008062175627*(100)</f>
        <v>81.600806217562706</v>
      </c>
      <c r="E17" s="12">
        <f>0.86456305530036*(100)</f>
        <v>86.456305530036005</v>
      </c>
      <c r="F17" s="12">
        <f>0.918740755418651*(100)</f>
        <v>91.874075541865096</v>
      </c>
      <c r="G17" s="12">
        <f>0.970120812542408*(100)</f>
        <v>97.012081254240798</v>
      </c>
      <c r="H17" s="12">
        <f>1.02936649473497*(100)</f>
        <v>102.936649473497</v>
      </c>
      <c r="I17" s="12">
        <f>1.07414379414632*(100)</f>
        <v>107.41437941463199</v>
      </c>
      <c r="J17" s="12">
        <f>1.10543776532824*(100)</f>
        <v>110.543776532824</v>
      </c>
      <c r="K17" s="12">
        <f>1.17138027729241*(100)</f>
        <v>117.138027729241</v>
      </c>
      <c r="L17" s="12">
        <f>1.23133920583167*(100)</f>
        <v>123.133920583167</v>
      </c>
      <c r="M17" s="12">
        <f>1.19803969840898*(100)</f>
        <v>119.80396984089801</v>
      </c>
      <c r="N17" s="12">
        <f>0.993849588785009*(100)</f>
        <v>99.384958878500896</v>
      </c>
      <c r="O17" s="12">
        <f>1.02051471427113*(100)</f>
        <v>102.051471427113</v>
      </c>
      <c r="P17" s="12">
        <f t="shared" si="0"/>
        <v>100</v>
      </c>
      <c r="Q17" s="12">
        <f>1.06817322068705*(100)</f>
        <v>106.817322068705</v>
      </c>
      <c r="R17" s="12">
        <f>1.14327474845732*(100)</f>
        <v>114.327474845732</v>
      </c>
      <c r="S17" s="12">
        <f>1.17427749656237*(100)</f>
        <v>117.427749656237</v>
      </c>
      <c r="T17" s="12">
        <f>1.15027310920165*(100)</f>
        <v>115.02731092016499</v>
      </c>
      <c r="U17" s="12">
        <f>1.21344950231878*(100)</f>
        <v>121.344950231878</v>
      </c>
      <c r="V17" s="12">
        <f>1.3045192617545*(100)</f>
        <v>130.45192617545001</v>
      </c>
      <c r="W17" s="12">
        <f>1.4025763735021*(100)</f>
        <v>140.25763735020999</v>
      </c>
      <c r="X17" s="12">
        <f>1.47348068620563*(100)</f>
        <v>147.348068620563</v>
      </c>
      <c r="Y17" s="12">
        <f>1.55522129951543*(100)</f>
        <v>155.52212995154301</v>
      </c>
      <c r="Z17" s="12">
        <f>1.76574456033321*(100)</f>
        <v>176.57445603332101</v>
      </c>
      <c r="AA17" s="12">
        <f>1.81412762175827*(100)</f>
        <v>181.412762175827</v>
      </c>
      <c r="AB17" s="12">
        <f>1.79212776987172*(100)</f>
        <v>179.21277698717199</v>
      </c>
      <c r="AC17" s="12">
        <f>1.87916443996101*(100)</f>
        <v>187.91644399610101</v>
      </c>
      <c r="AD17" s="12">
        <f>1.98404878136653*(100)</f>
        <v>198.404878136653</v>
      </c>
      <c r="AE17" s="12">
        <f>1.92594227178018*(100)</f>
        <v>192.594227178018</v>
      </c>
      <c r="AF17" s="12">
        <f>1.9258862288513*(100)</f>
        <v>192.58862288513001</v>
      </c>
      <c r="AG17" s="12">
        <f>1.88606372481321*(100)</f>
        <v>188.60637248132099</v>
      </c>
    </row>
    <row r="18" spans="1:33" x14ac:dyDescent="0.25">
      <c r="A18" s="3">
        <v>15</v>
      </c>
      <c r="B18" s="5" t="s">
        <v>17</v>
      </c>
      <c r="C18" s="12">
        <f>0.599044348557068*(100)</f>
        <v>59.904434855706803</v>
      </c>
      <c r="D18" s="12">
        <f>0.622463053758071*(100)</f>
        <v>62.246305375807097</v>
      </c>
      <c r="E18" s="12">
        <f>0.586885554124666*(100)</f>
        <v>58.688555412466599</v>
      </c>
      <c r="F18" s="12">
        <f>0.61328257142069*(100)</f>
        <v>61.328257142068999</v>
      </c>
      <c r="G18" s="12">
        <f>0.672193842365605*(100)</f>
        <v>67.219384236560501</v>
      </c>
      <c r="H18" s="12">
        <f>0.693576312010814*(100)</f>
        <v>69.357631201081404</v>
      </c>
      <c r="I18" s="12">
        <f>0.713662087979895*(100)</f>
        <v>71.366208797989501</v>
      </c>
      <c r="J18" s="12">
        <f>0.700468479363969*(100)</f>
        <v>70.046847936396901</v>
      </c>
      <c r="K18" s="12">
        <f>0.760031091611*(100)</f>
        <v>76.003109161099999</v>
      </c>
      <c r="L18" s="12">
        <f>0.835973966673974*(100)</f>
        <v>83.597396667397405</v>
      </c>
      <c r="M18" s="12">
        <f>0.936283975370624*(100)</f>
        <v>93.628397537062398</v>
      </c>
      <c r="N18" s="12">
        <f>0.929048987254109*(100)</f>
        <v>92.904898725410902</v>
      </c>
      <c r="O18" s="12">
        <f>0.977676542711583*(100)</f>
        <v>97.767654271158307</v>
      </c>
      <c r="P18" s="12">
        <f t="shared" si="0"/>
        <v>100</v>
      </c>
      <c r="Q18" s="12">
        <f>1.05093964467145*(100)</f>
        <v>105.093964467145</v>
      </c>
      <c r="R18" s="12">
        <f>1.13464562242022*(100)</f>
        <v>113.464562242022</v>
      </c>
      <c r="S18" s="12">
        <f>1.19971332997469*(100)</f>
        <v>119.97133299746901</v>
      </c>
      <c r="T18" s="12">
        <f>1.45002602461486*(100)</f>
        <v>145.00260246148599</v>
      </c>
      <c r="U18" s="12">
        <f>1.64299908823107*(100)</f>
        <v>164.29990882310699</v>
      </c>
      <c r="V18" s="12">
        <f>1.74903832333243*(100)</f>
        <v>174.903832333243</v>
      </c>
      <c r="W18" s="12">
        <f>1.84807250885998*(100)</f>
        <v>184.807250885998</v>
      </c>
      <c r="X18" s="12">
        <f>1.85208690551722*(100)</f>
        <v>185.20869055172199</v>
      </c>
      <c r="Y18" s="12">
        <f>1.84025423544255*(100)</f>
        <v>184.02542354425501</v>
      </c>
      <c r="Z18" s="12">
        <f>1.91709218303326*(100)</f>
        <v>191.709218303326</v>
      </c>
      <c r="AA18" s="12">
        <f>1.89502026072526*(100)</f>
        <v>189.50202607252601</v>
      </c>
      <c r="AB18" s="12">
        <f>1.76976999612353*(100)</f>
        <v>176.97699961235301</v>
      </c>
      <c r="AC18" s="12">
        <f>1.65773747733282*(100)</f>
        <v>165.77374773328199</v>
      </c>
      <c r="AD18" s="12">
        <f>1.68885594776784*(100)</f>
        <v>168.88559477678399</v>
      </c>
      <c r="AE18" s="12">
        <f>1.58436439687501*(100)</f>
        <v>158.43643968750101</v>
      </c>
      <c r="AF18" s="12">
        <f>1.5636436130441*(100)</f>
        <v>156.36436130441001</v>
      </c>
      <c r="AG18" s="12">
        <f>1.55228225346305*(100)</f>
        <v>155.22822534630501</v>
      </c>
    </row>
    <row r="19" spans="1:33" x14ac:dyDescent="0.25">
      <c r="A19" s="3">
        <v>16</v>
      </c>
      <c r="B19" s="5" t="s">
        <v>18</v>
      </c>
      <c r="C19" s="12">
        <f>1.12133811398028*(100)</f>
        <v>112.133811398028</v>
      </c>
      <c r="D19" s="12">
        <f>1.14667885186613*(100)</f>
        <v>114.66788518661301</v>
      </c>
      <c r="E19" s="12">
        <f>1.13549708217029*(100)</f>
        <v>113.54970821702901</v>
      </c>
      <c r="F19" s="12">
        <f>1.08491293227287*(100)</f>
        <v>108.491293227287</v>
      </c>
      <c r="G19" s="12">
        <f>1.09955366354056*(100)</f>
        <v>109.955366354056</v>
      </c>
      <c r="H19" s="12">
        <f>1.14086557739548*(100)</f>
        <v>114.086557739548</v>
      </c>
      <c r="I19" s="12">
        <f>1.17040787327393*(100)</f>
        <v>117.04078732739301</v>
      </c>
      <c r="J19" s="12">
        <f>1.3495614496105*(100)</f>
        <v>134.95614496105</v>
      </c>
      <c r="K19" s="12">
        <f>1.39484717891221*(100)</f>
        <v>139.48471789122101</v>
      </c>
      <c r="L19" s="12">
        <f>1.54415090960762*(100)</f>
        <v>154.415090960762</v>
      </c>
      <c r="M19" s="12">
        <f>1.44113731123647*(100)</f>
        <v>144.113731123647</v>
      </c>
      <c r="N19" s="12">
        <f>1.12989987114054*(100)</f>
        <v>112.989987114054</v>
      </c>
      <c r="O19" s="12">
        <f>0.982963105707579*(100)</f>
        <v>98.296310570757896</v>
      </c>
      <c r="P19" s="12">
        <f t="shared" si="0"/>
        <v>100</v>
      </c>
      <c r="Q19" s="12">
        <f>1.08274159201772*(100)</f>
        <v>108.27415920177199</v>
      </c>
      <c r="R19" s="12">
        <f>1.1607074033846*(100)</f>
        <v>116.07074033846</v>
      </c>
      <c r="S19" s="12">
        <f>1.17501236038603*(100)</f>
        <v>117.501236038603</v>
      </c>
      <c r="T19" s="12">
        <f>1.12641755135886*(100)</f>
        <v>112.641755135886</v>
      </c>
      <c r="U19" s="12">
        <f>1.17197287333232*(100)</f>
        <v>117.197287333232</v>
      </c>
      <c r="V19" s="12">
        <f>1.18792263760905*(100)</f>
        <v>118.792263760905</v>
      </c>
      <c r="W19" s="12">
        <f>1.20466560776115*(100)</f>
        <v>120.466560776115</v>
      </c>
      <c r="X19" s="12">
        <f>1.1060491923899*(100)</f>
        <v>110.60491923899001</v>
      </c>
      <c r="Y19" s="12">
        <f>1.06452316161156*(100)</f>
        <v>106.45231616115601</v>
      </c>
      <c r="Z19" s="12">
        <f>1.07897605394189*(100)</f>
        <v>107.897605394189</v>
      </c>
      <c r="AA19" s="12">
        <f>1.08203987246417*(100)</f>
        <v>108.203987246417</v>
      </c>
      <c r="AB19" s="12">
        <f>1.05268638878183*(100)</f>
        <v>105.268638878183</v>
      </c>
      <c r="AC19" s="12">
        <f>1.01056083061794*(100)</f>
        <v>101.056083061794</v>
      </c>
      <c r="AD19" s="12">
        <f>1.06642880222993*(100)</f>
        <v>106.642880222993</v>
      </c>
      <c r="AE19" s="12">
        <f>1.03524461885241*(100)</f>
        <v>103.524461885241</v>
      </c>
      <c r="AF19" s="12">
        <f>1.00447796347555*(100)</f>
        <v>100.447796347555</v>
      </c>
      <c r="AG19" s="12">
        <f>0.973061755213747*(100)</f>
        <v>97.306175521374698</v>
      </c>
    </row>
    <row r="20" spans="1:33" x14ac:dyDescent="0.25">
      <c r="A20" s="3">
        <v>17</v>
      </c>
      <c r="B20" s="5" t="s">
        <v>19</v>
      </c>
      <c r="C20" s="12">
        <f>0.718176525864028*(100)</f>
        <v>71.817652586402801</v>
      </c>
      <c r="D20" s="12">
        <f>0.785393758714049*(100)</f>
        <v>78.5393758714049</v>
      </c>
      <c r="E20" s="12">
        <f>0.849423095070689*(100)</f>
        <v>84.942309507068899</v>
      </c>
      <c r="F20" s="12">
        <f>0.878677179126954*(100)</f>
        <v>87.867717912695397</v>
      </c>
      <c r="G20" s="12">
        <f>0.895721692715221*(100)</f>
        <v>89.5721692715221</v>
      </c>
      <c r="H20" s="12">
        <f>0.967879002149188*(100)</f>
        <v>96.787900214918807</v>
      </c>
      <c r="I20" s="12">
        <f>1.12624761256657*(100)</f>
        <v>112.624761256657</v>
      </c>
      <c r="J20" s="12">
        <f>1.119826629469*(100)</f>
        <v>111.98266294690001</v>
      </c>
      <c r="K20" s="12">
        <f>1.19575545238624*(100)</f>
        <v>119.575545238624</v>
      </c>
      <c r="L20" s="12">
        <f>1.21768621316175*(100)</f>
        <v>121.768621316175</v>
      </c>
      <c r="M20" s="12">
        <f>1.16068393903588*(100)</f>
        <v>116.068393903588</v>
      </c>
      <c r="N20" s="12">
        <f>1.04270890790123*(100)</f>
        <v>104.270890790123</v>
      </c>
      <c r="O20" s="12">
        <f>1.01925563912772*(100)</f>
        <v>101.92556391277201</v>
      </c>
      <c r="P20" s="12">
        <f t="shared" si="0"/>
        <v>100</v>
      </c>
      <c r="Q20" s="12">
        <f>1.01404096616457*(100)</f>
        <v>101.404096616457</v>
      </c>
      <c r="R20" s="12">
        <f>1.02735224495167*(100)</f>
        <v>102.735224495167</v>
      </c>
      <c r="S20" s="12">
        <f>1.08940610890551*(100)</f>
        <v>108.940610890551</v>
      </c>
      <c r="T20" s="12">
        <f>1.14319629653751*(100)</f>
        <v>114.31962965375099</v>
      </c>
      <c r="U20" s="12">
        <f>1.18390075720018*(100)</f>
        <v>118.390075720018</v>
      </c>
      <c r="V20" s="12">
        <f>1.24086329061096*(100)</f>
        <v>124.086329061096</v>
      </c>
      <c r="W20" s="12">
        <f>1.32112212361622*(100)</f>
        <v>132.112212361622</v>
      </c>
      <c r="X20" s="12">
        <f>1.40922569403371*(100)</f>
        <v>140.922569403371</v>
      </c>
      <c r="Y20" s="12">
        <f>1.43940471332856*(100)</f>
        <v>143.94047133285599</v>
      </c>
      <c r="Z20" s="12">
        <f>1.63141217767157*(100)</f>
        <v>163.141217767157</v>
      </c>
      <c r="AA20" s="12">
        <f>1.6846354952371*(100)</f>
        <v>168.46354952370999</v>
      </c>
      <c r="AB20" s="12">
        <f>1.64632757248029*(100)</f>
        <v>164.63275724802901</v>
      </c>
      <c r="AC20" s="12">
        <f>1.79457771835131*(100)</f>
        <v>179.45777183513101</v>
      </c>
      <c r="AD20" s="12">
        <f>1.81691625342083*(100)</f>
        <v>181.691625342083</v>
      </c>
      <c r="AE20" s="12">
        <f>1.66996731691692*(100)</f>
        <v>166.99673169169199</v>
      </c>
      <c r="AF20" s="12">
        <f>1.60095271386552*(100)</f>
        <v>160.09527138655201</v>
      </c>
      <c r="AG20" s="12">
        <f>1.54539147262609*(100)</f>
        <v>154.53914726260899</v>
      </c>
    </row>
    <row r="21" spans="1:33" x14ac:dyDescent="0.25">
      <c r="A21" s="3">
        <v>18</v>
      </c>
      <c r="B21" s="5" t="s">
        <v>20</v>
      </c>
      <c r="C21" s="12">
        <f>0.753941301025384*(100)</f>
        <v>75.394130102538398</v>
      </c>
      <c r="D21" s="12">
        <f>0.785618986251804*(100)</f>
        <v>78.561898625180405</v>
      </c>
      <c r="E21" s="12">
        <f>0.746534564009647*(100)</f>
        <v>74.6534564009647</v>
      </c>
      <c r="F21" s="12">
        <f>0.78667846510786*(100)</f>
        <v>78.667846510786006</v>
      </c>
      <c r="G21" s="12">
        <f>0.844200902342666*(100)</f>
        <v>84.420090234266596</v>
      </c>
      <c r="H21" s="12">
        <f>0.849890068766923*(100)</f>
        <v>84.989006876692301</v>
      </c>
      <c r="I21" s="12">
        <f>0.878386722907667*(100)</f>
        <v>87.838672290766695</v>
      </c>
      <c r="J21" s="12">
        <f>0.929647063204583*(100)</f>
        <v>92.964706320458305</v>
      </c>
      <c r="K21" s="12">
        <f>0.916296744429952*(100)</f>
        <v>91.629674442995295</v>
      </c>
      <c r="L21" s="12">
        <f>0.994861634381203*(100)</f>
        <v>99.4861634381203</v>
      </c>
      <c r="M21" s="12">
        <f>1.04290523082201*(100)</f>
        <v>104.29052308220101</v>
      </c>
      <c r="N21" s="12">
        <f>1.00327672299619*(100)</f>
        <v>100.327672299619</v>
      </c>
      <c r="O21" s="12">
        <f>1.00748884586399*(100)</f>
        <v>100.748884586399</v>
      </c>
      <c r="P21" s="12">
        <f t="shared" si="0"/>
        <v>100</v>
      </c>
      <c r="Q21" s="12">
        <f>1.06257655734387*(100)</f>
        <v>106.257655734387</v>
      </c>
      <c r="R21" s="12">
        <f>1.10802044723988*(100)</f>
        <v>110.802044723988</v>
      </c>
      <c r="S21" s="12">
        <f>1.10784859860952*(100)</f>
        <v>110.784859860952</v>
      </c>
      <c r="T21" s="12">
        <f>1.30252257306543*(100)</f>
        <v>130.25225730654299</v>
      </c>
      <c r="U21" s="12">
        <f>1.52219640253359*(100)</f>
        <v>152.21964025335899</v>
      </c>
      <c r="V21" s="12">
        <f>1.67740135568118*(100)</f>
        <v>167.74013556811801</v>
      </c>
      <c r="W21" s="12">
        <f>1.83215058945912*(100)</f>
        <v>183.21505894591201</v>
      </c>
      <c r="X21" s="12">
        <f>1.88427292004399*(100)</f>
        <v>188.42729200439899</v>
      </c>
      <c r="Y21" s="12">
        <f>1.88781977809855*(100)</f>
        <v>188.78197780985499</v>
      </c>
      <c r="Z21" s="12">
        <f>2.04644247389992*(100)</f>
        <v>204.64424738999199</v>
      </c>
      <c r="AA21" s="12">
        <f>2.11018976911541*(100)</f>
        <v>211.01897691154099</v>
      </c>
      <c r="AB21" s="12">
        <f>2.08952062168302*(100)</f>
        <v>208.95206216830201</v>
      </c>
      <c r="AC21" s="12">
        <f>2.03986766129276*(100)</f>
        <v>203.98676612927599</v>
      </c>
      <c r="AD21" s="12">
        <f>2.15129455740431*(100)</f>
        <v>215.12945574043101</v>
      </c>
      <c r="AE21" s="12">
        <f>2.12213523296783*(100)</f>
        <v>212.21352329678299</v>
      </c>
      <c r="AF21" s="12">
        <f>2.08328920109922*(100)</f>
        <v>208.328920109922</v>
      </c>
      <c r="AG21" s="12">
        <f>2.07083551705224*(100)</f>
        <v>207.08355170522401</v>
      </c>
    </row>
    <row r="22" spans="1:33" x14ac:dyDescent="0.25">
      <c r="A22" s="3">
        <v>19</v>
      </c>
      <c r="B22" s="5" t="s">
        <v>21</v>
      </c>
      <c r="C22" s="12">
        <f>1.43465930568864*(100)</f>
        <v>143.465930568864</v>
      </c>
      <c r="D22" s="12">
        <f>1.53070072877199*(100)</f>
        <v>153.07007287719901</v>
      </c>
      <c r="E22" s="12">
        <f>1.55254806466643*(100)</f>
        <v>155.254806466643</v>
      </c>
      <c r="F22" s="12">
        <f>1.57779399224636*(100)</f>
        <v>157.77939922463599</v>
      </c>
      <c r="G22" s="12">
        <f>1.62055242499099*(100)</f>
        <v>162.05524249909899</v>
      </c>
      <c r="H22" s="12">
        <f>1.61793359296019*(100)</f>
        <v>161.79335929601899</v>
      </c>
      <c r="I22" s="12">
        <f>1.50319112462968*(100)</f>
        <v>150.31911246296801</v>
      </c>
      <c r="J22" s="12">
        <f>1.48944906947509*(100)</f>
        <v>148.944906947509</v>
      </c>
      <c r="K22" s="12">
        <f>1.48006909707876*(100)</f>
        <v>148.00690970787599</v>
      </c>
      <c r="L22" s="12">
        <f>1.52147723576521*(100)</f>
        <v>152.147723576521</v>
      </c>
      <c r="M22" s="12">
        <f>1.44546341634946*(100)</f>
        <v>144.546341634946</v>
      </c>
      <c r="N22" s="12">
        <f>1.08035744112243*(100)</f>
        <v>108.03574411224299</v>
      </c>
      <c r="O22" s="12">
        <f>1.01458598894095*(100)</f>
        <v>101.458598894095</v>
      </c>
      <c r="P22" s="12">
        <f t="shared" si="0"/>
        <v>100</v>
      </c>
      <c r="Q22" s="12">
        <f>1.096168892249*(100)</f>
        <v>109.61688922490001</v>
      </c>
      <c r="R22" s="12">
        <f>1.15815407066187*(100)</f>
        <v>115.81540706618701</v>
      </c>
      <c r="S22" s="12">
        <f>1.2866341986585*(100)</f>
        <v>128.66341986584999</v>
      </c>
      <c r="T22" s="12">
        <f>1.39022267544592*(100)</f>
        <v>139.02226754459201</v>
      </c>
      <c r="U22" s="12">
        <f>1.50803055743585*(100)</f>
        <v>150.80305574358499</v>
      </c>
      <c r="V22" s="12">
        <f>1.62939351050082*(100)</f>
        <v>162.939351050082</v>
      </c>
      <c r="W22" s="12">
        <f>1.76599562209348*(100)</f>
        <v>176.59956220934799</v>
      </c>
      <c r="X22" s="12">
        <f>1.89880970172215*(100)</f>
        <v>189.880970172215</v>
      </c>
      <c r="Y22" s="12">
        <f>1.9072288203388*(100)</f>
        <v>190.72288203388001</v>
      </c>
      <c r="Z22" s="12">
        <f>2.01318206992343*(100)</f>
        <v>201.31820699234299</v>
      </c>
      <c r="AA22" s="12">
        <f>2.0233646585145*(100)</f>
        <v>202.33646585144999</v>
      </c>
      <c r="AB22" s="12">
        <f>1.93621267131416*(100)</f>
        <v>193.621267131416</v>
      </c>
      <c r="AC22" s="12">
        <f>1.94999692315807*(100)</f>
        <v>194.99969231580701</v>
      </c>
      <c r="AD22" s="12">
        <f>2.05525832285742*(100)</f>
        <v>205.52583228574201</v>
      </c>
      <c r="AE22" s="12">
        <f>2.01045071338778*(100)</f>
        <v>201.045071338778</v>
      </c>
      <c r="AF22" s="12">
        <f>1.98104577461693*(100)</f>
        <v>198.104577461693</v>
      </c>
      <c r="AG22" s="12">
        <f>1.94782643095127*(100)</f>
        <v>194.78264309512701</v>
      </c>
    </row>
    <row r="23" spans="1:33" x14ac:dyDescent="0.25">
      <c r="A23" s="3">
        <v>20</v>
      </c>
      <c r="B23" s="5" t="s">
        <v>22</v>
      </c>
      <c r="C23" s="12">
        <f>0.675644272789001*(100)</f>
        <v>67.564427278900098</v>
      </c>
      <c r="D23" s="12">
        <f>0.709381296582444*(100)</f>
        <v>70.938129658244407</v>
      </c>
      <c r="E23" s="12">
        <f>0.714091430933176*(100)</f>
        <v>71.409143093317596</v>
      </c>
      <c r="F23" s="12">
        <f>0.747767761794756*(100)</f>
        <v>74.776776179475604</v>
      </c>
      <c r="G23" s="12">
        <f>0.809350801682712*(100)</f>
        <v>80.935080168271199</v>
      </c>
      <c r="H23" s="12">
        <f>0.839033273745409*(100)</f>
        <v>83.903327374540893</v>
      </c>
      <c r="I23" s="12">
        <f>0.918144861164094*(100)</f>
        <v>91.814486116409398</v>
      </c>
      <c r="J23" s="12">
        <f>1.01067601865582*(100)</f>
        <v>101.06760186558201</v>
      </c>
      <c r="K23" s="12">
        <f>0.954048028889836*(100)</f>
        <v>95.404802888983596</v>
      </c>
      <c r="L23" s="12">
        <f>0.990682645400391*(100)</f>
        <v>99.068264540039095</v>
      </c>
      <c r="M23" s="12">
        <f>0.989847457881497*(100)</f>
        <v>98.984745788149695</v>
      </c>
      <c r="N23" s="12">
        <f>0.862919735741655*(100)</f>
        <v>86.291973574165496</v>
      </c>
      <c r="O23" s="12">
        <f>0.911804428901776*(100)</f>
        <v>91.180442890177602</v>
      </c>
      <c r="P23" s="12">
        <f t="shared" si="0"/>
        <v>100</v>
      </c>
      <c r="Q23" s="12">
        <f>1.12038805873163*(100)</f>
        <v>112.038805873163</v>
      </c>
      <c r="R23" s="12">
        <f>1.20954745997606*(100)</f>
        <v>120.954745997606</v>
      </c>
      <c r="S23" s="12">
        <f>1.32620620192703*(100)</f>
        <v>132.620620192703</v>
      </c>
      <c r="T23" s="12">
        <f>1.6228702841963*(100)</f>
        <v>162.28702841962999</v>
      </c>
      <c r="U23" s="12">
        <f>1.83460219494009*(100)</f>
        <v>183.46021949400901</v>
      </c>
      <c r="V23" s="12">
        <f>2.00737419122133*(100)</f>
        <v>200.73741912213299</v>
      </c>
      <c r="W23" s="12">
        <f>2.18623527186228*(100)</f>
        <v>218.62352718622799</v>
      </c>
      <c r="X23" s="12">
        <f>2.42249735251824*(100)</f>
        <v>242.24973525182401</v>
      </c>
      <c r="Y23" s="12">
        <f>2.59584988988686*(100)</f>
        <v>259.58498898868601</v>
      </c>
      <c r="Z23" s="12">
        <f>2.94249394183935*(100)</f>
        <v>294.24939418393501</v>
      </c>
      <c r="AA23" s="12">
        <f>3.04297208009686*(100)</f>
        <v>304.29720800968602</v>
      </c>
      <c r="AB23" s="12">
        <f>3.03429365054626*(100)</f>
        <v>303.42936505462598</v>
      </c>
      <c r="AC23" s="12">
        <f>3.05815685791372*(100)</f>
        <v>305.815685791372</v>
      </c>
      <c r="AD23" s="12">
        <f>3.1820298124341*(100)</f>
        <v>318.20298124341002</v>
      </c>
      <c r="AE23" s="12">
        <f>3.04716615960031*(100)</f>
        <v>304.71661596003099</v>
      </c>
      <c r="AF23" s="12">
        <f>3.0706335434991*(100)</f>
        <v>307.06335434991001</v>
      </c>
      <c r="AG23" s="12">
        <f>3.03930246668939*(100)</f>
        <v>303.93024666893899</v>
      </c>
    </row>
    <row r="24" spans="1:33" x14ac:dyDescent="0.25">
      <c r="A24" s="3">
        <v>21</v>
      </c>
      <c r="B24" s="5" t="s">
        <v>23</v>
      </c>
      <c r="C24" s="12">
        <f>0.375848458367735*(100)</f>
        <v>37.584845836773503</v>
      </c>
      <c r="D24" s="12">
        <f>0.388141948969383*(100)</f>
        <v>38.814194896938297</v>
      </c>
      <c r="E24" s="12">
        <f>0.398998902378628*(100)</f>
        <v>39.899890237862799</v>
      </c>
      <c r="F24" s="12">
        <f>0.421586673948053*(100)</f>
        <v>42.158667394805299</v>
      </c>
      <c r="G24" s="12">
        <f>0.462767734885806*(100)</f>
        <v>46.276773488580602</v>
      </c>
      <c r="H24" s="12">
        <f>0.477139668587573*(100)</f>
        <v>47.713966858757303</v>
      </c>
      <c r="I24" s="12">
        <f>0.512405122845502*(100)</f>
        <v>51.240512284550199</v>
      </c>
      <c r="J24" s="12">
        <f>0.527589896765191*(100)</f>
        <v>52.7589896765191</v>
      </c>
      <c r="K24" s="12">
        <f>0.570362516894527*(100)</f>
        <v>57.036251689452698</v>
      </c>
      <c r="L24" s="12">
        <f>0.605231639776775*(100)</f>
        <v>60.523163977677498</v>
      </c>
      <c r="M24" s="12">
        <f>0.624498003497099*(100)</f>
        <v>62.449800349709903</v>
      </c>
      <c r="N24" s="12">
        <f>0.819929398552373*(100)</f>
        <v>81.992939855237395</v>
      </c>
      <c r="O24" s="12">
        <f>0.881492653515661*(100)</f>
        <v>88.1492653515661</v>
      </c>
      <c r="P24" s="12">
        <f t="shared" si="0"/>
        <v>100</v>
      </c>
      <c r="Q24" s="12">
        <f>0.875411854081155*(100)</f>
        <v>87.541185408115496</v>
      </c>
      <c r="R24" s="12">
        <f>0.986637103670675*(100)</f>
        <v>98.663710367067495</v>
      </c>
      <c r="S24" s="12">
        <f>1.13682553332079*(100)</f>
        <v>113.682553332079</v>
      </c>
      <c r="T24" s="12">
        <f>1.42425567704505*(100)</f>
        <v>142.425567704505</v>
      </c>
      <c r="U24" s="12">
        <f>1.66768565606868*(100)</f>
        <v>166.76856560686801</v>
      </c>
      <c r="V24" s="12">
        <f>1.8751985963045*(100)</f>
        <v>187.51985963044999</v>
      </c>
      <c r="W24" s="12">
        <f>2.14055360734552*(100)</f>
        <v>214.05536073455201</v>
      </c>
      <c r="X24" s="12">
        <f>2.52069379644611*(100)</f>
        <v>252.06937964461099</v>
      </c>
      <c r="Y24" s="12">
        <f>2.61336250262266*(100)</f>
        <v>261.33625026226599</v>
      </c>
      <c r="Z24" s="12">
        <f>3.04955995898233*(100)</f>
        <v>304.95599589823303</v>
      </c>
      <c r="AA24" s="12">
        <f>3.23609981710685*(100)</f>
        <v>323.60998171068502</v>
      </c>
      <c r="AB24" s="12">
        <f>3.33091914593869*(100)</f>
        <v>333.09191459386898</v>
      </c>
      <c r="AC24" s="12">
        <f>3.47882981848974*(100)</f>
        <v>347.882981848974</v>
      </c>
      <c r="AD24" s="12">
        <f>3.75926707567321*(100)</f>
        <v>375.92670756732099</v>
      </c>
      <c r="AE24" s="12">
        <f>3.68264847785621*(100)</f>
        <v>368.26484778562099</v>
      </c>
      <c r="AF24" s="12">
        <f>3.85272155473449*(100)</f>
        <v>385.272155473449</v>
      </c>
      <c r="AG24" s="12">
        <f>3.90240405491617*(100)</f>
        <v>390.24040549161703</v>
      </c>
    </row>
    <row r="25" spans="1:33" x14ac:dyDescent="0.25">
      <c r="A25" s="3">
        <v>22</v>
      </c>
      <c r="B25" s="5" t="s">
        <v>24</v>
      </c>
      <c r="C25" s="12">
        <f>0.490032983749103*(100)</f>
        <v>49.003298374910301</v>
      </c>
      <c r="D25" s="12">
        <f>0.504207059626787*(100)</f>
        <v>50.420705962678703</v>
      </c>
      <c r="E25" s="12">
        <f>0.4979536520591*(100)</f>
        <v>49.795365205910002</v>
      </c>
      <c r="F25" s="12">
        <f>0.510711936904146*(100)</f>
        <v>51.071193690414603</v>
      </c>
      <c r="G25" s="12">
        <f>0.544340801951915*(100)</f>
        <v>54.434080195191498</v>
      </c>
      <c r="H25" s="12">
        <f>0.548635215800069*(100)</f>
        <v>54.863521580006903</v>
      </c>
      <c r="I25" s="12">
        <f>0.745228903202486*(100)</f>
        <v>74.522890320248607</v>
      </c>
      <c r="J25" s="12">
        <f>0.694410333903981*(100)</f>
        <v>69.441033390398104</v>
      </c>
      <c r="K25" s="12">
        <f>0.691622027320786*(100)</f>
        <v>69.162202732078597</v>
      </c>
      <c r="L25" s="12">
        <f>0.709936793698447*(100)</f>
        <v>70.993679369844699</v>
      </c>
      <c r="M25" s="12">
        <f>1.08987393882192*(100)</f>
        <v>108.98739388219199</v>
      </c>
      <c r="N25" s="12">
        <f>1.21849349110644*(100)</f>
        <v>121.849349110644</v>
      </c>
      <c r="O25" s="12">
        <f>1.17236192761648*(100)</f>
        <v>117.236192761648</v>
      </c>
      <c r="P25" s="12">
        <f t="shared" si="0"/>
        <v>100</v>
      </c>
      <c r="Q25" s="12">
        <f>0.995384785304409*(100)</f>
        <v>99.538478530440898</v>
      </c>
      <c r="R25" s="12">
        <f>0.855505073071304*(100)</f>
        <v>85.550507307130403</v>
      </c>
      <c r="S25" s="12">
        <f>1.02750854715873*(100)</f>
        <v>102.750854715873</v>
      </c>
      <c r="T25" s="12">
        <f>1.21591553750458*(100)</f>
        <v>121.591553750458</v>
      </c>
      <c r="U25" s="12">
        <f>1.35628071831276*(100)</f>
        <v>135.628071831276</v>
      </c>
      <c r="V25" s="12">
        <f>1.47137843957247*(100)</f>
        <v>147.13784395724699</v>
      </c>
      <c r="W25" s="12">
        <f>1.591844931196*(100)</f>
        <v>159.18449311960001</v>
      </c>
      <c r="X25" s="12">
        <f>1.65209625029495*(100)</f>
        <v>165.20962502949499</v>
      </c>
      <c r="Y25" s="12">
        <f>1.64918544698753*(100)</f>
        <v>164.91854469875301</v>
      </c>
      <c r="Z25" s="12">
        <f>1.77060430043828*(100)</f>
        <v>177.06043004382801</v>
      </c>
      <c r="AA25" s="12">
        <f>1.76885219565337*(100)</f>
        <v>176.885219565337</v>
      </c>
      <c r="AB25" s="12">
        <f>1.66239953009453*(100)</f>
        <v>166.23995300945299</v>
      </c>
      <c r="AC25" s="12">
        <f>1.60696976238648*(100)</f>
        <v>160.69697623864801</v>
      </c>
      <c r="AD25" s="12">
        <f>1.66312246158171*(100)</f>
        <v>166.31224615817101</v>
      </c>
      <c r="AE25" s="12">
        <f>1.58555392115026*(100)</f>
        <v>158.555392115026</v>
      </c>
      <c r="AF25" s="12">
        <f>1.61490493952979*(100)</f>
        <v>161.49049395297899</v>
      </c>
      <c r="AG25" s="12">
        <f>1.63627810772683*(100)</f>
        <v>163.62781077268301</v>
      </c>
    </row>
    <row r="26" spans="1:33" x14ac:dyDescent="0.25">
      <c r="A26" s="3">
        <v>23</v>
      </c>
      <c r="B26" s="5" t="s">
        <v>25</v>
      </c>
      <c r="C26" s="12">
        <f>0.71833134177932*(100)</f>
        <v>71.833134177931996</v>
      </c>
      <c r="D26" s="12">
        <f>0.758100223601396*(100)</f>
        <v>75.810022360139598</v>
      </c>
      <c r="E26" s="12">
        <f>0.790642930456764*(100)</f>
        <v>79.064293045676393</v>
      </c>
      <c r="F26" s="12">
        <f>0.828113920902361*(100)</f>
        <v>82.811392090236097</v>
      </c>
      <c r="G26" s="12">
        <f>0.862511024172402*(100)</f>
        <v>86.251102417240205</v>
      </c>
      <c r="H26" s="12">
        <f>0.916486431630388*(100)</f>
        <v>91.648643163038798</v>
      </c>
      <c r="I26" s="12">
        <f>1.11353543252677*(100)</f>
        <v>111.353543252677</v>
      </c>
      <c r="J26" s="12">
        <f>1.1113210877039*(100)</f>
        <v>111.13210877039</v>
      </c>
      <c r="K26" s="12">
        <f>1.19809152705524*(100)</f>
        <v>119.809152705524</v>
      </c>
      <c r="L26" s="12">
        <f>1.27009589555284*(100)</f>
        <v>127.00958955528399</v>
      </c>
      <c r="M26" s="12">
        <f>1.17777189768412*(100)</f>
        <v>117.777189768412</v>
      </c>
      <c r="N26" s="12">
        <f>1.02547206812391*(100)</f>
        <v>102.547206812391</v>
      </c>
      <c r="O26" s="12">
        <f>1.00337605122391*(100)</f>
        <v>100.337605122391</v>
      </c>
      <c r="P26" s="12">
        <f t="shared" si="0"/>
        <v>100</v>
      </c>
      <c r="Q26" s="12">
        <f>1.00355349736226*(100)</f>
        <v>100.355349736226</v>
      </c>
      <c r="R26" s="12">
        <f>1.09044961769627*(100)</f>
        <v>109.04496176962699</v>
      </c>
      <c r="S26" s="12">
        <f>1.17299289035683*(100)</f>
        <v>117.299289035683</v>
      </c>
      <c r="T26" s="12">
        <f>1.23395779767432*(100)</f>
        <v>123.395779767432</v>
      </c>
      <c r="U26" s="12">
        <f>1.33068761221301*(100)</f>
        <v>133.068761221301</v>
      </c>
      <c r="V26" s="12">
        <f>1.46274822896956*(100)</f>
        <v>146.27482289695601</v>
      </c>
      <c r="W26" s="12">
        <f>1.61846889263257*(100)</f>
        <v>161.846889263257</v>
      </c>
      <c r="X26" s="12">
        <f>1.77168773428247*(100)</f>
        <v>177.16877342824699</v>
      </c>
      <c r="Y26" s="12">
        <f>1.8876515545317*(100)</f>
        <v>188.76515545317</v>
      </c>
      <c r="Z26" s="12">
        <f>2.11145928863119*(100)</f>
        <v>211.145928863119</v>
      </c>
      <c r="AA26" s="12">
        <f>2.21682593882129*(100)</f>
        <v>221.682593882129</v>
      </c>
      <c r="AB26" s="12">
        <f>2.19134953687039*(100)</f>
        <v>219.134953687039</v>
      </c>
      <c r="AC26" s="12">
        <f>2.29232794646664*(100)</f>
        <v>229.23279464666399</v>
      </c>
      <c r="AD26" s="12">
        <f>2.55775727342572*(100)</f>
        <v>255.775727342572</v>
      </c>
      <c r="AE26" s="12">
        <f>2.60071753728837*(100)</f>
        <v>260.071753728837</v>
      </c>
      <c r="AF26" s="12">
        <f>2.63107358765996*(100)</f>
        <v>263.10735876599603</v>
      </c>
      <c r="AG26" s="12">
        <f>2.63864333879957*(100)</f>
        <v>263.86433387995697</v>
      </c>
    </row>
    <row r="27" spans="1:33" x14ac:dyDescent="0.25">
      <c r="A27" s="3">
        <v>24</v>
      </c>
      <c r="B27" s="5" t="s">
        <v>26</v>
      </c>
      <c r="C27" s="12">
        <f>0.76992999847697*(100)</f>
        <v>76.992999847697007</v>
      </c>
      <c r="D27" s="12">
        <f>0.732854403729644*(100)</f>
        <v>73.285440372964402</v>
      </c>
      <c r="E27" s="12">
        <f>0.690576731235837*(100)</f>
        <v>69.057673123583697</v>
      </c>
      <c r="F27" s="12">
        <f>0.733748299979843*(100)</f>
        <v>73.374829997984307</v>
      </c>
      <c r="G27" s="12">
        <f>0.788129451942848*(100)</f>
        <v>78.812945194284794</v>
      </c>
      <c r="H27" s="12">
        <f>0.886748079129847*(100)</f>
        <v>88.674807912984605</v>
      </c>
      <c r="I27" s="12">
        <f>0.939995634410357*(100)</f>
        <v>93.999563441035704</v>
      </c>
      <c r="J27" s="12">
        <f>0.985232825378342*(100)</f>
        <v>98.523282537834206</v>
      </c>
      <c r="K27" s="12">
        <f>0.990898238276796*(100)</f>
        <v>99.089823827679595</v>
      </c>
      <c r="L27" s="12">
        <f>1.08689365590714*(100)</f>
        <v>108.689365590714</v>
      </c>
      <c r="M27" s="12">
        <f>0.990353931933217*(100)</f>
        <v>99.035393193321696</v>
      </c>
      <c r="N27" s="12">
        <f>1.01751441147974*(100)</f>
        <v>101.75144114797401</v>
      </c>
      <c r="O27" s="12">
        <f>0.992244544994384*(100)</f>
        <v>99.224454499438394</v>
      </c>
      <c r="P27" s="12">
        <f t="shared" si="0"/>
        <v>100</v>
      </c>
      <c r="Q27" s="12">
        <f>0.921489647147683*(100)</f>
        <v>92.148964714768297</v>
      </c>
      <c r="R27" s="12">
        <f>0.93544539617726*(100)</f>
        <v>93.544539617726002</v>
      </c>
      <c r="S27" s="12">
        <f>0.843571583567304*(100)</f>
        <v>84.357158356730395</v>
      </c>
      <c r="T27" s="12">
        <f>0.902352598693279*(100)</f>
        <v>90.235259869327905</v>
      </c>
      <c r="U27" s="12">
        <f>0.995063113616506*(100)</f>
        <v>99.506311361650603</v>
      </c>
      <c r="V27" s="12">
        <f>1.05254987493378*(100)</f>
        <v>105.254987493378</v>
      </c>
      <c r="W27" s="12">
        <f>1.10270574447763*(100)</f>
        <v>110.270574447763</v>
      </c>
      <c r="X27" s="12">
        <f>1.0976975263301*(100)</f>
        <v>109.76975263301</v>
      </c>
      <c r="Y27" s="12">
        <f>1.11124713414463*(100)</f>
        <v>111.124713414463</v>
      </c>
      <c r="Z27" s="12">
        <f>1.22851012793234*(100)</f>
        <v>122.85101279323401</v>
      </c>
      <c r="AA27" s="12">
        <f>1.25189495080358*(100)</f>
        <v>125.189495080358</v>
      </c>
      <c r="AB27" s="12">
        <f>1.22622901094975*(100)</f>
        <v>122.62290109497501</v>
      </c>
      <c r="AC27" s="12">
        <f>1.19074863436088*(100)</f>
        <v>119.07486343608799</v>
      </c>
      <c r="AD27" s="12">
        <f>1.21290646520692*(100)</f>
        <v>121.290646520691</v>
      </c>
      <c r="AE27" s="12">
        <f>1.14312257903099*(100)</f>
        <v>114.312257903099</v>
      </c>
      <c r="AF27" s="12">
        <f>1.14315471045623*(100)</f>
        <v>114.315471045623</v>
      </c>
      <c r="AG27" s="12">
        <f>1.1393342839951*(100)</f>
        <v>113.93342839951001</v>
      </c>
    </row>
    <row r="28" spans="1:33" x14ac:dyDescent="0.25">
      <c r="A28" s="3">
        <v>25</v>
      </c>
      <c r="B28" s="5" t="s">
        <v>27</v>
      </c>
      <c r="C28" s="12">
        <f>0.436455439123375*(100)</f>
        <v>43.645543912337502</v>
      </c>
      <c r="D28" s="12">
        <f>0.478485811107805*(100)</f>
        <v>47.848581110780501</v>
      </c>
      <c r="E28" s="12">
        <f>0.521925084019407*(100)</f>
        <v>52.1925084019407</v>
      </c>
      <c r="F28" s="12">
        <f>0.573632818514951*(100)</f>
        <v>57.363281851495103</v>
      </c>
      <c r="G28" s="12">
        <f>0.629651905128844*(100)</f>
        <v>62.965190512884398</v>
      </c>
      <c r="H28" s="12">
        <f>0.658722035457532*(100)</f>
        <v>65.872203545753194</v>
      </c>
      <c r="I28" s="12">
        <f>0.734402165705523*(100)</f>
        <v>73.440216570552295</v>
      </c>
      <c r="J28" s="12">
        <f>0.721505328708691*(100)</f>
        <v>72.1505328708691</v>
      </c>
      <c r="K28" s="12">
        <f>0.830108945672747*(100)</f>
        <v>83.010894567274704</v>
      </c>
      <c r="L28" s="12">
        <f>0.862349967696562*(100)</f>
        <v>86.234996769656206</v>
      </c>
      <c r="M28" s="12">
        <f>0.909174555331599*(100)</f>
        <v>90.917455533159895</v>
      </c>
      <c r="N28" s="12">
        <f>0.971564245635248*(100)</f>
        <v>97.156424563524794</v>
      </c>
      <c r="O28" s="12">
        <f>0.920300343752064*(100)</f>
        <v>92.030034375206398</v>
      </c>
      <c r="P28" s="12">
        <f t="shared" si="0"/>
        <v>100</v>
      </c>
      <c r="Q28" s="12">
        <f>1.01011460762644*(100)</f>
        <v>101.01146076264401</v>
      </c>
      <c r="R28" s="12">
        <f>1.09557618283861*(100)</f>
        <v>109.557618283861</v>
      </c>
      <c r="S28" s="12">
        <f>1.13660014996437*(100)</f>
        <v>113.660014996437</v>
      </c>
      <c r="T28" s="12">
        <f>1.20930849561495*(100)</f>
        <v>120.93084956149499</v>
      </c>
      <c r="U28" s="12">
        <f>1.21648013894349*(100)</f>
        <v>121.64801389434901</v>
      </c>
      <c r="V28" s="12">
        <f>1.30566068560363*(100)</f>
        <v>130.56606856036299</v>
      </c>
      <c r="W28" s="12">
        <f>1.35108905324328*(100)</f>
        <v>135.10890532432799</v>
      </c>
      <c r="X28" s="12">
        <f>1.35565287118528*(100)</f>
        <v>135.565287118528</v>
      </c>
      <c r="Y28" s="12">
        <f>1.43558490139093*(100)</f>
        <v>143.55849013909301</v>
      </c>
      <c r="Z28" s="12">
        <f>1.56298758800278*(100)</f>
        <v>156.29875880027799</v>
      </c>
      <c r="AA28" s="12">
        <f>1.50617157893575*(100)</f>
        <v>150.61715789357501</v>
      </c>
      <c r="AB28" s="12">
        <f>1.4729768520295*(100)</f>
        <v>147.29768520294999</v>
      </c>
      <c r="AC28" s="12">
        <f>1.56282224182735*(100)</f>
        <v>156.28222418273501</v>
      </c>
      <c r="AD28" s="12">
        <f>1.58247258077877*(100)</f>
        <v>158.24725807787701</v>
      </c>
      <c r="AE28" s="12">
        <f>1.5204852218562*(100)</f>
        <v>152.04852218561999</v>
      </c>
      <c r="AF28" s="12">
        <f>1.64434432912848*(100)</f>
        <v>164.434432912848</v>
      </c>
      <c r="AG28" s="12">
        <f>1.66266613461649*(100)</f>
        <v>166.266613461649</v>
      </c>
    </row>
    <row r="29" spans="1:33" x14ac:dyDescent="0.25">
      <c r="A29" s="3">
        <v>26</v>
      </c>
      <c r="B29" s="5" t="s">
        <v>28</v>
      </c>
      <c r="C29" s="12">
        <f>0.426891511508972*(100)</f>
        <v>42.689151150897203</v>
      </c>
      <c r="D29" s="12">
        <f>0.47592134298779*(100)</f>
        <v>47.592134298779001</v>
      </c>
      <c r="E29" s="12">
        <f>0.498365975147781*(100)</f>
        <v>49.836597514778099</v>
      </c>
      <c r="F29" s="12">
        <f>0.508156900210595*(100)</f>
        <v>50.815690021059503</v>
      </c>
      <c r="G29" s="12">
        <f>0.524286013722426*(100)</f>
        <v>52.428601372242603</v>
      </c>
      <c r="H29" s="12">
        <f>0.555099850577225*(100)</f>
        <v>55.509985057722503</v>
      </c>
      <c r="I29" s="12">
        <f>0.625126865423246*(100)</f>
        <v>62.512686542324602</v>
      </c>
      <c r="J29" s="12">
        <f>0.695388944513863*(100)</f>
        <v>69.538894451386298</v>
      </c>
      <c r="K29" s="12">
        <f>0.739579853024124*(100)</f>
        <v>73.957985302412396</v>
      </c>
      <c r="L29" s="12">
        <f>0.815685523083165*(100)</f>
        <v>81.568552308316498</v>
      </c>
      <c r="M29" s="12">
        <f>0.841444983901743*(100)</f>
        <v>84.144498390174306</v>
      </c>
      <c r="N29" s="12">
        <f>0.869725290591763*(100)</f>
        <v>86.972529059176296</v>
      </c>
      <c r="O29" s="12">
        <f>0.933140280187943*(100)</f>
        <v>93.314028018794303</v>
      </c>
      <c r="P29" s="12">
        <f t="shared" si="0"/>
        <v>100</v>
      </c>
      <c r="Q29" s="12">
        <f>1.09495408015934*(100)</f>
        <v>109.495408015934</v>
      </c>
      <c r="R29" s="12">
        <f>1.19247110724885*(100)</f>
        <v>119.247110724885</v>
      </c>
      <c r="S29" s="12">
        <f>1.14056086166834*(100)</f>
        <v>114.05608616683401</v>
      </c>
      <c r="T29" s="12">
        <f>1.06821810867291*(100)</f>
        <v>106.82181086729101</v>
      </c>
      <c r="U29" s="12">
        <f>1.07847799275106*(100)</f>
        <v>107.847799275106</v>
      </c>
      <c r="V29" s="12">
        <f>1.15620842183102*(100)</f>
        <v>115.620842183102</v>
      </c>
      <c r="W29" s="12">
        <f>1.23340898929572*(100)</f>
        <v>123.34089892957201</v>
      </c>
      <c r="X29" s="12">
        <f>1.33893871147371*(100)</f>
        <v>133.89387114737099</v>
      </c>
      <c r="Y29" s="12">
        <f>1.43401513659005*(100)</f>
        <v>143.40151365900499</v>
      </c>
      <c r="Z29" s="12">
        <f>1.57560513524965*(100)</f>
        <v>157.56051352496499</v>
      </c>
      <c r="AA29" s="12">
        <f>1.58369519553153*(100)</f>
        <v>158.369519553153</v>
      </c>
      <c r="AB29" s="12">
        <f>1.58389400608666*(100)</f>
        <v>158.38940060866599</v>
      </c>
      <c r="AC29" s="12">
        <f>1.59570839079498*(100)</f>
        <v>159.570839079498</v>
      </c>
      <c r="AD29" s="12">
        <f>1.689702602799*(100)</f>
        <v>168.9702602799</v>
      </c>
      <c r="AE29" s="12">
        <f>1.6574611082474*(100)</f>
        <v>165.74611082473999</v>
      </c>
      <c r="AF29" s="12">
        <f>1.69867966401916*(100)</f>
        <v>169.86796640191599</v>
      </c>
      <c r="AG29" s="12">
        <f>1.74323391905982*(100)</f>
        <v>174.32339190598199</v>
      </c>
    </row>
    <row r="30" spans="1:33" x14ac:dyDescent="0.25">
      <c r="A30" s="3">
        <v>27</v>
      </c>
      <c r="B30" s="5" t="s">
        <v>29</v>
      </c>
      <c r="C30" s="12">
        <f>0.366012560326355*(100)</f>
        <v>36.601256032635497</v>
      </c>
      <c r="D30" s="12">
        <f>0.407168097251378*(100)</f>
        <v>40.7168097251378</v>
      </c>
      <c r="E30" s="12">
        <f>0.437641953192971*(100)</f>
        <v>43.764195319297102</v>
      </c>
      <c r="F30" s="12">
        <f>0.475904881672469*(100)</f>
        <v>47.590488167246903</v>
      </c>
      <c r="G30" s="12">
        <f>0.487788832378701*(100)</f>
        <v>48.778883237870097</v>
      </c>
      <c r="H30" s="12">
        <f>0.517684450455702*(100)</f>
        <v>51.768445045570203</v>
      </c>
      <c r="I30" s="12">
        <f>0.592197118307882*(100)</f>
        <v>59.219711830788199</v>
      </c>
      <c r="J30" s="12">
        <f>0.696365627104805*(100)</f>
        <v>69.636562710480405</v>
      </c>
      <c r="K30" s="12">
        <f>0.795950915825291*(100)</f>
        <v>79.595091582529093</v>
      </c>
      <c r="L30" s="12">
        <f>0.905526281604133*(100)</f>
        <v>90.552628160413207</v>
      </c>
      <c r="M30" s="12">
        <f>0.930268137750953*(100)</f>
        <v>93.026813775095306</v>
      </c>
      <c r="N30" s="12">
        <f>0.908991123934157*(100)</f>
        <v>90.899112393415706</v>
      </c>
      <c r="O30" s="12">
        <f>0.936573954297704*(100)</f>
        <v>93.657395429770304</v>
      </c>
      <c r="P30" s="12">
        <f t="shared" si="0"/>
        <v>100</v>
      </c>
      <c r="Q30" s="12">
        <f>1.04812899605811*(100)</f>
        <v>104.812899605811</v>
      </c>
      <c r="R30" s="12">
        <f>1.14154328487576*(100)</f>
        <v>114.154328487576</v>
      </c>
      <c r="S30" s="12">
        <f>1.20444643849359*(100)</f>
        <v>120.444643849359</v>
      </c>
      <c r="T30" s="12">
        <f>1.27217024230972*(100)</f>
        <v>127.217024230972</v>
      </c>
      <c r="U30" s="12">
        <f>1.31884791263445*(100)</f>
        <v>131.88479126344501</v>
      </c>
      <c r="V30" s="12">
        <f>1.42737039863153*(100)</f>
        <v>142.737039863153</v>
      </c>
      <c r="W30" s="12">
        <f>1.51638104095915*(100)</f>
        <v>151.638104095915</v>
      </c>
      <c r="X30" s="12">
        <f>1.58813242378493*(100)</f>
        <v>158.81324237849299</v>
      </c>
      <c r="Y30" s="12">
        <f>1.66734893713178*(100)</f>
        <v>166.734893713178</v>
      </c>
      <c r="Z30" s="12">
        <f>1.86780054559805*(100)</f>
        <v>186.780054559805</v>
      </c>
      <c r="AA30" s="12">
        <f>1.99180838788768*(100)</f>
        <v>199.180838788768</v>
      </c>
      <c r="AB30" s="12">
        <f>1.94302222891757*(100)</f>
        <v>194.302222891757</v>
      </c>
      <c r="AC30" s="12">
        <f>1.94527754216704*(100)</f>
        <v>194.52775421670401</v>
      </c>
      <c r="AD30" s="12">
        <f>2.21906067185629*(100)</f>
        <v>221.90606718562901</v>
      </c>
      <c r="AE30" s="12">
        <f>2.29299149945582*(100)</f>
        <v>229.299149945582</v>
      </c>
      <c r="AF30" s="12">
        <f>2.33878112654316*(100)</f>
        <v>233.878112654316</v>
      </c>
      <c r="AG30" s="12">
        <f>2.34884052228077*(100)</f>
        <v>234.884052228077</v>
      </c>
    </row>
    <row r="31" spans="1:33" x14ac:dyDescent="0.25">
      <c r="A31" s="3">
        <v>28</v>
      </c>
      <c r="B31" s="5" t="s">
        <v>30</v>
      </c>
      <c r="C31" s="12">
        <f>0.349513556637495*(100)</f>
        <v>34.951355663749503</v>
      </c>
      <c r="D31" s="12">
        <f>0.386915325366325*(100)</f>
        <v>38.691532536632501</v>
      </c>
      <c r="E31" s="12">
        <f>0.412647449363131*(100)</f>
        <v>41.2647449363131</v>
      </c>
      <c r="F31" s="12">
        <f>0.446441270443462*(100)</f>
        <v>44.644127044346199</v>
      </c>
      <c r="G31" s="12">
        <f>0.442903110224327*(100)</f>
        <v>44.290311022432697</v>
      </c>
      <c r="H31" s="12">
        <f>0.475366754798666*(100)</f>
        <v>47.536675479866602</v>
      </c>
      <c r="I31" s="12">
        <f>0.556065300425516*(100)</f>
        <v>55.606530042551597</v>
      </c>
      <c r="J31" s="12">
        <f>0.653617041871677*(100)</f>
        <v>65.361704187167703</v>
      </c>
      <c r="K31" s="12">
        <f>0.743552664139019*(100)</f>
        <v>74.355266413901902</v>
      </c>
      <c r="L31" s="12">
        <f>0.849088587101191*(100)</f>
        <v>84.908858710119105</v>
      </c>
      <c r="M31" s="12">
        <f>0.872848708815464*(100)</f>
        <v>87.284870881546397</v>
      </c>
      <c r="N31" s="12">
        <f>0.866764166106572*(100)</f>
        <v>86.676416610657199</v>
      </c>
      <c r="O31" s="12">
        <f>0.913651326702747*(100)</f>
        <v>91.365132670274704</v>
      </c>
      <c r="P31" s="12">
        <f t="shared" si="0"/>
        <v>100</v>
      </c>
      <c r="Q31" s="12">
        <f>1.07375610152119*(100)</f>
        <v>107.37561015211899</v>
      </c>
      <c r="R31" s="12">
        <f>1.18652212706464*(100)</f>
        <v>118.652212706464</v>
      </c>
      <c r="S31" s="12">
        <f>1.27254254964548*(100)</f>
        <v>127.254254964548</v>
      </c>
      <c r="T31" s="12">
        <f>1.3642017809065*(100)</f>
        <v>136.42017809065001</v>
      </c>
      <c r="U31" s="12">
        <f>1.40819986682623*(100)</f>
        <v>140.81998668262301</v>
      </c>
      <c r="V31" s="12">
        <f>1.45809865944125*(100)</f>
        <v>145.80986594412499</v>
      </c>
      <c r="W31" s="12">
        <f>1.47792562720867*(100)</f>
        <v>147.79256272086701</v>
      </c>
      <c r="X31" s="12">
        <f>1.47279890525849*(100)</f>
        <v>147.279890525849</v>
      </c>
      <c r="Y31" s="12">
        <f>1.46170668515175*(100)</f>
        <v>146.17066851517501</v>
      </c>
      <c r="Z31" s="12">
        <f>1.55197719340563*(100)</f>
        <v>155.197719340563</v>
      </c>
      <c r="AA31" s="12">
        <f>1.52820848487119*(100)</f>
        <v>152.82084848711901</v>
      </c>
      <c r="AB31" s="12">
        <f>1.42575484003925*(100)</f>
        <v>142.575484003925</v>
      </c>
      <c r="AC31" s="12">
        <f>1.40831774044853*(100)</f>
        <v>140.83177404485301</v>
      </c>
      <c r="AD31" s="12">
        <f>1.59216234086085*(100)</f>
        <v>159.216234086085</v>
      </c>
      <c r="AE31" s="12">
        <f>1.63372645357301*(100)</f>
        <v>163.37264535730199</v>
      </c>
      <c r="AF31" s="12">
        <f>1.75334632285039*(100)</f>
        <v>175.33463228503899</v>
      </c>
      <c r="AG31" s="12">
        <f>1.89729655676317*(100)</f>
        <v>189.72965567631701</v>
      </c>
    </row>
    <row r="32" spans="1:33" x14ac:dyDescent="0.25">
      <c r="A32" s="3">
        <v>29</v>
      </c>
      <c r="B32" s="5" t="s">
        <v>31</v>
      </c>
      <c r="C32" s="12">
        <f>0.564523517833503*(100)</f>
        <v>56.452351783350302</v>
      </c>
      <c r="D32" s="12">
        <f>0.605072898633937*(100)</f>
        <v>60.507289863393702</v>
      </c>
      <c r="E32" s="12">
        <f>0.637341776029936*(100)</f>
        <v>63.734177602993597</v>
      </c>
      <c r="F32" s="12">
        <f>0.67398590505066*(100)</f>
        <v>67.398590505065997</v>
      </c>
      <c r="G32" s="12">
        <f>0.68805778691346*(100)</f>
        <v>68.805778691346006</v>
      </c>
      <c r="H32" s="12">
        <f>0.723628557392424*(100)</f>
        <v>72.362855739242406</v>
      </c>
      <c r="I32" s="12">
        <f>0.742108489948887*(100)</f>
        <v>74.210848994888707</v>
      </c>
      <c r="J32" s="12">
        <f>0.768425237405788*(100)</f>
        <v>76.842523740578798</v>
      </c>
      <c r="K32" s="12">
        <f>0.84221305049723*(100)</f>
        <v>84.221305049723</v>
      </c>
      <c r="L32" s="12">
        <f>0.931135291113363*(100)</f>
        <v>93.113529111336305</v>
      </c>
      <c r="M32" s="12">
        <f>0.941356346025131*(100)</f>
        <v>94.135634602513093</v>
      </c>
      <c r="N32" s="12">
        <f>0.894903853674343*(100)</f>
        <v>89.4903853674343</v>
      </c>
      <c r="O32" s="12">
        <f>0.910102077190266*(100)</f>
        <v>91.010207719026596</v>
      </c>
      <c r="P32" s="12">
        <f t="shared" si="0"/>
        <v>100</v>
      </c>
      <c r="Q32" s="12">
        <f>1.06127586936455*(100)</f>
        <v>106.127586936455</v>
      </c>
      <c r="R32" s="12">
        <f>1.16292486958766*(100)</f>
        <v>116.29248695876601</v>
      </c>
      <c r="S32" s="12">
        <f>1.24732408255417*(100)</f>
        <v>124.732408255417</v>
      </c>
      <c r="T32" s="12">
        <f>1.33616378485397*(100)</f>
        <v>133.61637848539701</v>
      </c>
      <c r="U32" s="12">
        <f>1.34815310605381*(100)</f>
        <v>134.815310605381</v>
      </c>
      <c r="V32" s="12">
        <f>1.32706799030733*(100)</f>
        <v>132.70679903073301</v>
      </c>
      <c r="W32" s="12">
        <f>1.29198271813453*(100)</f>
        <v>129.198271813453</v>
      </c>
      <c r="X32" s="12">
        <f>1.23791074976869*(100)</f>
        <v>123.791074976869</v>
      </c>
      <c r="Y32" s="12">
        <f>1.29043899931843*(100)</f>
        <v>129.04389993184299</v>
      </c>
      <c r="Z32" s="12">
        <f>1.43068241166147*(100)</f>
        <v>143.068241166147</v>
      </c>
      <c r="AA32" s="12">
        <f>1.45579748773549*(100)</f>
        <v>145.579748773549</v>
      </c>
      <c r="AB32" s="12">
        <f>1.47046551970846*(100)</f>
        <v>147.046551970846</v>
      </c>
      <c r="AC32" s="12">
        <f>1.50837115138068*(100)</f>
        <v>150.83711513806799</v>
      </c>
      <c r="AD32" s="12">
        <f>1.41001359179*(100)</f>
        <v>141.00135917899999</v>
      </c>
      <c r="AE32" s="12">
        <f>1.23616122580573*(100)</f>
        <v>123.61612258057301</v>
      </c>
      <c r="AF32" s="12">
        <f>1.11198359037351*(100)</f>
        <v>111.198359037351</v>
      </c>
      <c r="AG32" s="12">
        <f>1.02401108103929*(100)</f>
        <v>102.401108103929</v>
      </c>
    </row>
    <row r="33" spans="1:33" x14ac:dyDescent="0.25">
      <c r="A33" s="3">
        <v>30</v>
      </c>
      <c r="B33" s="5" t="s">
        <v>32</v>
      </c>
      <c r="C33" s="12">
        <f>0.461358018166076*(100)</f>
        <v>46.135801816607596</v>
      </c>
      <c r="D33" s="12">
        <f>0.486908934245985*(100)</f>
        <v>48.690893424598499</v>
      </c>
      <c r="E33" s="12">
        <f>0.50687625553882*(100)</f>
        <v>50.687625553882</v>
      </c>
      <c r="F33" s="12">
        <f>0.53256139995977*(100)</f>
        <v>53.256139995977001</v>
      </c>
      <c r="G33" s="12">
        <f>0.553490374154846*(100)</f>
        <v>55.349037415484602</v>
      </c>
      <c r="H33" s="12">
        <f>0.581257768988082*(100)</f>
        <v>58.125776898808198</v>
      </c>
      <c r="I33" s="12">
        <f>0.651353862030757*(100)</f>
        <v>65.135386203075697</v>
      </c>
      <c r="J33" s="12">
        <f>0.78321020196232*(100)</f>
        <v>78.321020196231999</v>
      </c>
      <c r="K33" s="12">
        <f>0.854158816083217*(100)</f>
        <v>85.415881608321698</v>
      </c>
      <c r="L33" s="12">
        <f>0.907456593482435*(100)</f>
        <v>90.745659348243507</v>
      </c>
      <c r="M33" s="12">
        <f>0.92958905974378*(100)</f>
        <v>92.958905974377998</v>
      </c>
      <c r="N33" s="12">
        <f>0.908883292450093*(100)</f>
        <v>90.888329245009302</v>
      </c>
      <c r="O33" s="12">
        <f>0.942174582779911*(100)</f>
        <v>94.217458277991099</v>
      </c>
      <c r="P33" s="12">
        <f t="shared" si="0"/>
        <v>100</v>
      </c>
      <c r="Q33" s="12">
        <f>1.02591291432543*(100)</f>
        <v>102.591291432543</v>
      </c>
      <c r="R33" s="12">
        <f>1.13133007357462*(100)</f>
        <v>113.13300735746201</v>
      </c>
      <c r="S33" s="12">
        <f>1.20574542929684*(100)</f>
        <v>120.574542929684</v>
      </c>
      <c r="T33" s="12">
        <f>1.24297687279906*(100)</f>
        <v>124.297687279906</v>
      </c>
      <c r="U33" s="12">
        <f>1.3043979364579*(100)</f>
        <v>130.43979364578999</v>
      </c>
      <c r="V33" s="12">
        <f>1.41939664170577*(100)</f>
        <v>141.939664170577</v>
      </c>
      <c r="W33" s="12">
        <f>1.58858747295945*(100)</f>
        <v>158.85874729594499</v>
      </c>
      <c r="X33" s="12">
        <f>1.77660487473226*(100)</f>
        <v>177.660487473226</v>
      </c>
      <c r="Y33" s="12">
        <f>2.0223876141844*(100)</f>
        <v>202.23876141843999</v>
      </c>
      <c r="Z33" s="12">
        <f>2.25552208930786*(100)</f>
        <v>225.55220893078601</v>
      </c>
      <c r="AA33" s="12">
        <f>2.20268517522122*(100)</f>
        <v>220.26851752212201</v>
      </c>
      <c r="AB33" s="12">
        <f>2.24582000397742*(100)</f>
        <v>224.58200039774201</v>
      </c>
      <c r="AC33" s="12">
        <f>3.02929257861769*(100)</f>
        <v>302.92925786176897</v>
      </c>
      <c r="AD33" s="12">
        <f>3.84330723422313*(100)</f>
        <v>384.33072342231299</v>
      </c>
      <c r="AE33" s="12">
        <f>3.7366683308953*(100)</f>
        <v>373.66683308952997</v>
      </c>
      <c r="AF33" s="12">
        <f>4.01006978732983*(100)</f>
        <v>401.00697873298299</v>
      </c>
      <c r="AG33" s="12">
        <f>4.34293325809448*(100)</f>
        <v>434.29332580944799</v>
      </c>
    </row>
    <row r="34" spans="1:33" x14ac:dyDescent="0.25">
      <c r="A34" s="3">
        <v>31</v>
      </c>
      <c r="B34" s="5" t="s">
        <v>33</v>
      </c>
      <c r="C34" s="12">
        <f>0.2773235398739*(100)</f>
        <v>27.732353987389999</v>
      </c>
      <c r="D34" s="12">
        <f>0.365414624766635*(100)</f>
        <v>36.541462476663497</v>
      </c>
      <c r="E34" s="12">
        <f>0.463246820866667*(100)</f>
        <v>46.324682086666698</v>
      </c>
      <c r="F34" s="12">
        <f>0.503706254438427*(100)</f>
        <v>50.370625443842698</v>
      </c>
      <c r="G34" s="12">
        <f>0.545717621408944*(100)</f>
        <v>54.5717621408944</v>
      </c>
      <c r="H34" s="12">
        <f>0.58999055944422*(100)</f>
        <v>58.999055944421997</v>
      </c>
      <c r="I34" s="12">
        <f>0.639126647724269*(100)</f>
        <v>63.912664772426901</v>
      </c>
      <c r="J34" s="12">
        <f>0.704276696893299*(100)</f>
        <v>70.427669689329903</v>
      </c>
      <c r="K34" s="12">
        <f>0.765097547728176*(100)</f>
        <v>76.509754772817601</v>
      </c>
      <c r="L34" s="12">
        <f>0.845276389698584*(100)</f>
        <v>84.527638969858401</v>
      </c>
      <c r="M34" s="12">
        <f>0.880934341789998*(100)</f>
        <v>88.0934341789998</v>
      </c>
      <c r="N34" s="12">
        <f>0.878521726939904*(100)</f>
        <v>87.852172693990397</v>
      </c>
      <c r="O34" s="12">
        <f>0.92748608750121*(100)</f>
        <v>92.748608750120994</v>
      </c>
      <c r="P34" s="12">
        <f t="shared" si="0"/>
        <v>100</v>
      </c>
      <c r="Q34" s="12">
        <f>1.05466635921659*(100)</f>
        <v>105.46663592165901</v>
      </c>
      <c r="R34" s="12">
        <f>1.15074616651384*(100)</f>
        <v>115.07461665138401</v>
      </c>
      <c r="S34" s="12">
        <f>1.19352513723534*(100)</f>
        <v>119.352513723534</v>
      </c>
      <c r="T34" s="12">
        <f>1.23964175427334*(100)</f>
        <v>123.964175427334</v>
      </c>
      <c r="U34" s="12">
        <f>1.25610846348252*(100)</f>
        <v>125.610846348252</v>
      </c>
      <c r="V34" s="12">
        <f>1.35333954872764*(100)</f>
        <v>135.333954872764</v>
      </c>
      <c r="W34" s="12">
        <f>1.49644300184649*(100)</f>
        <v>149.64430018464901</v>
      </c>
      <c r="X34" s="12">
        <f>1.67038083717837*(100)</f>
        <v>167.038083717837</v>
      </c>
      <c r="Y34" s="12">
        <f>1.87189597360424*(100)</f>
        <v>187.18959736042399</v>
      </c>
      <c r="Z34" s="12">
        <f>2.19293104870351*(100)</f>
        <v>219.29310487035099</v>
      </c>
      <c r="AA34" s="12">
        <f>2.35548122958579*(100)</f>
        <v>235.548122958579</v>
      </c>
      <c r="AB34" s="12">
        <f>2.35486964908558*(100)</f>
        <v>235.48696490855801</v>
      </c>
      <c r="AC34" s="12">
        <f>2.39714914111882*(100)</f>
        <v>239.714914111882</v>
      </c>
      <c r="AD34" s="12">
        <f>2.60900496746366*(100)</f>
        <v>260.900496746366</v>
      </c>
      <c r="AE34" s="12">
        <f>2.76667527220439*(100)</f>
        <v>276.66752722043901</v>
      </c>
      <c r="AF34" s="12">
        <f>3.06688469064624*(100)</f>
        <v>306.68846906462397</v>
      </c>
      <c r="AG34" s="12">
        <f>3.29576390490191*(100)</f>
        <v>329.57639049019099</v>
      </c>
    </row>
    <row r="35" spans="1:33" x14ac:dyDescent="0.25">
      <c r="A35" s="3">
        <v>32</v>
      </c>
      <c r="B35" s="5" t="s">
        <v>34</v>
      </c>
      <c r="C35" s="12">
        <f>0.320280810319755*(100)</f>
        <v>32.028081031975503</v>
      </c>
      <c r="D35" s="12">
        <f>0.351919377550166*(100)</f>
        <v>35.191937755016603</v>
      </c>
      <c r="E35" s="12">
        <f>0.383104724135069*(100)</f>
        <v>38.310472413506901</v>
      </c>
      <c r="F35" s="12">
        <f>0.417177263571115*(100)</f>
        <v>41.717726357111502</v>
      </c>
      <c r="G35" s="12">
        <f>0.449847543083385*(100)</f>
        <v>44.984754308338502</v>
      </c>
      <c r="H35" s="12">
        <f>0.49305067771021*(100)</f>
        <v>49.305067771021001</v>
      </c>
      <c r="I35" s="12">
        <f>0.585481728388652*(100)</f>
        <v>58.548172838865199</v>
      </c>
      <c r="J35" s="12">
        <f>0.702370239766336*(100)</f>
        <v>70.237023976633594</v>
      </c>
      <c r="K35" s="12">
        <f>0.792998280357648*(100)</f>
        <v>79.299828035764705</v>
      </c>
      <c r="L35" s="12">
        <f>0.864428340495767*(100)</f>
        <v>86.442834049576703</v>
      </c>
      <c r="M35" s="12">
        <f>0.866824797220783*(100)</f>
        <v>86.682479722078298</v>
      </c>
      <c r="N35" s="12">
        <f>0.858703756045532*(100)</f>
        <v>85.870375604553203</v>
      </c>
      <c r="O35" s="12">
        <f>0.907884869158363*(100)</f>
        <v>90.788486915836302</v>
      </c>
      <c r="P35" s="12">
        <f t="shared" si="0"/>
        <v>100</v>
      </c>
      <c r="Q35" s="12">
        <f>1.11981954541914*(100)</f>
        <v>111.98195454191401</v>
      </c>
      <c r="R35" s="12">
        <f>1.35841105485414*(100)</f>
        <v>135.841105485414</v>
      </c>
      <c r="S35" s="12">
        <f>1.51750265369006*(100)</f>
        <v>151.750265369006</v>
      </c>
      <c r="T35" s="12">
        <f>1.85409403222309*(100)</f>
        <v>185.40940322230901</v>
      </c>
      <c r="U35" s="12">
        <f>2.13549194824911*(100)</f>
        <v>213.54919482491101</v>
      </c>
      <c r="V35" s="12">
        <f>2.34577353008606*(100)</f>
        <v>234.577353008606</v>
      </c>
      <c r="W35" s="12">
        <f>2.55239205066711*(100)</f>
        <v>255.23920506671101</v>
      </c>
      <c r="X35" s="12">
        <f>2.70734305201232*(100)</f>
        <v>270.73430520123202</v>
      </c>
      <c r="Y35" s="12">
        <f>2.89693115324269*(100)</f>
        <v>289.693115324269</v>
      </c>
      <c r="Z35" s="12">
        <f>3.42205683558749*(100)</f>
        <v>342.205683558749</v>
      </c>
      <c r="AA35" s="12">
        <f>3.89707229335497*(100)</f>
        <v>389.707229335497</v>
      </c>
      <c r="AB35" s="12">
        <f>4.19831867755371*(100)</f>
        <v>419.83186775537098</v>
      </c>
      <c r="AC35" s="12">
        <f>4.99804926813733*(100)</f>
        <v>499.804926813733</v>
      </c>
      <c r="AD35" s="12">
        <f>6.30676913097546*(100)</f>
        <v>630.67691309754605</v>
      </c>
      <c r="AE35" s="12">
        <f>6.66793790273837*(100)</f>
        <v>666.793790273838</v>
      </c>
      <c r="AF35" s="12">
        <f>7.30742693165418*(100)</f>
        <v>730.74269316541802</v>
      </c>
      <c r="AG35" s="12">
        <f>7.94707684567206*(100)</f>
        <v>794.707684567206</v>
      </c>
    </row>
    <row r="36" spans="1:33" x14ac:dyDescent="0.25">
      <c r="A36" s="3">
        <v>33</v>
      </c>
      <c r="B36" s="5" t="s">
        <v>35</v>
      </c>
      <c r="C36" s="12">
        <f>0.39454162596067*(100)</f>
        <v>39.454162596067</v>
      </c>
      <c r="D36" s="12">
        <f>0.413117763167016*(100)</f>
        <v>41.311776316701597</v>
      </c>
      <c r="E36" s="12">
        <f>0.429332191705547*(100)</f>
        <v>42.9332191705547</v>
      </c>
      <c r="F36" s="12">
        <f>0.445148267894322*(100)</f>
        <v>44.514826789432199</v>
      </c>
      <c r="G36" s="12">
        <f>0.471792900062593*(100)</f>
        <v>47.179290006259301</v>
      </c>
      <c r="H36" s="12">
        <f>0.501348750719012*(100)</f>
        <v>50.134875071901199</v>
      </c>
      <c r="I36" s="12">
        <f>0.549367455018817*(100)</f>
        <v>54.936745501881703</v>
      </c>
      <c r="J36" s="12">
        <f>0.616228090198064*(100)</f>
        <v>61.622809019806397</v>
      </c>
      <c r="K36" s="12">
        <f>0.718360154484964*(100)</f>
        <v>71.836015448496397</v>
      </c>
      <c r="L36" s="12">
        <f>0.814533841520015*(100)</f>
        <v>81.453384152001505</v>
      </c>
      <c r="M36" s="12">
        <f>0.851393607628346*(100)</f>
        <v>85.139360762834599</v>
      </c>
      <c r="N36" s="12">
        <f>0.872716955776464*(100)</f>
        <v>87.271695577646398</v>
      </c>
      <c r="O36" s="12">
        <f>0.952963312019115*(100)</f>
        <v>95.296331201911499</v>
      </c>
      <c r="P36" s="12">
        <f t="shared" si="0"/>
        <v>100</v>
      </c>
      <c r="Q36" s="12">
        <f>0.949153602704738*(100)</f>
        <v>94.915360270473798</v>
      </c>
      <c r="R36" s="12">
        <f>1.04731702252923*(100)</f>
        <v>104.731702252923</v>
      </c>
      <c r="S36" s="12">
        <f>1.07934448381753*(100)</f>
        <v>107.934448381753</v>
      </c>
      <c r="T36" s="12">
        <f>1.19701803846298*(100)</f>
        <v>119.70180384629801</v>
      </c>
      <c r="U36" s="12">
        <f>1.28645896209938*(100)</f>
        <v>128.645896209938</v>
      </c>
      <c r="V36" s="12">
        <f>1.53687988662175*(100)</f>
        <v>153.687988662175</v>
      </c>
      <c r="W36" s="12">
        <f>1.7644702843688*(100)</f>
        <v>176.44702843688</v>
      </c>
      <c r="X36" s="12">
        <f>2.01353755485376*(100)</f>
        <v>201.35375548537601</v>
      </c>
      <c r="Y36" s="12">
        <f>2.64243717242874*(100)</f>
        <v>264.24371724287403</v>
      </c>
      <c r="Z36" s="12">
        <f>3.55572418462042*(100)</f>
        <v>355.57241846204198</v>
      </c>
      <c r="AA36" s="12">
        <f>3.87707076435294*(100)</f>
        <v>387.70707643529403</v>
      </c>
      <c r="AB36" s="12">
        <f>4.09430467732614*(100)</f>
        <v>409.43046773261398</v>
      </c>
      <c r="AC36" s="12">
        <f>4.61306900051096*(100)</f>
        <v>461.30690005109602</v>
      </c>
      <c r="AD36" s="12">
        <f>5.67445482708025*(100)</f>
        <v>567.445482708025</v>
      </c>
      <c r="AE36" s="12">
        <f>6.69177503845723*(100)</f>
        <v>669.17750384572298</v>
      </c>
      <c r="AF36" s="12">
        <f>7.68630327328628*(100)</f>
        <v>768.63032732862803</v>
      </c>
      <c r="AG36" s="12">
        <f>8.5967818675962*(100)</f>
        <v>859.67818675961996</v>
      </c>
    </row>
    <row r="37" spans="1:33" x14ac:dyDescent="0.25">
      <c r="A37" s="3">
        <v>34</v>
      </c>
      <c r="B37" s="5" t="s">
        <v>36</v>
      </c>
      <c r="C37" s="12">
        <f>0.573482173549092*(100)</f>
        <v>57.348217354909202</v>
      </c>
      <c r="D37" s="12">
        <f>0.623163792824482*(100)</f>
        <v>62.316379282448203</v>
      </c>
      <c r="E37" s="12">
        <f>0.679571124770198*(100)</f>
        <v>67.957112477019805</v>
      </c>
      <c r="F37" s="12">
        <f>0.733824067250411*(100)</f>
        <v>73.382406725041093</v>
      </c>
      <c r="G37" s="12">
        <f>0.796528798359282*(100)</f>
        <v>79.652879835928204</v>
      </c>
      <c r="H37" s="12">
        <f>0.847673033467068*(100)</f>
        <v>84.767303346706797</v>
      </c>
      <c r="I37" s="12">
        <f>0.894984427461154*(100)</f>
        <v>89.498442746115401</v>
      </c>
      <c r="J37" s="12">
        <f>0.934809340958922*(100)</f>
        <v>93.480934095892195</v>
      </c>
      <c r="K37" s="12">
        <f>0.962577671891705*(100)</f>
        <v>96.257767189170494</v>
      </c>
      <c r="L37" s="12">
        <f>1.0242252043724*(100)</f>
        <v>102.42252043724</v>
      </c>
      <c r="M37" s="12">
        <f>1.01963159543271*(100)</f>
        <v>101.963159543271</v>
      </c>
      <c r="N37" s="12">
        <f>0.964923779733902*(100)</f>
        <v>96.492377973390205</v>
      </c>
      <c r="O37" s="12">
        <f>0.962748630953726*(100)</f>
        <v>96.274863095372595</v>
      </c>
      <c r="P37" s="12">
        <f t="shared" si="0"/>
        <v>100</v>
      </c>
      <c r="Q37" s="12">
        <f>1.03266813976392*(100)</f>
        <v>103.266813976392</v>
      </c>
      <c r="R37" s="12">
        <f>1.08439790965913*(100)</f>
        <v>108.43979096591301</v>
      </c>
      <c r="S37" s="12">
        <f>1.11725135683491*(100)</f>
        <v>111.725135683491</v>
      </c>
      <c r="T37" s="12">
        <f>1.17249738829504*(100)</f>
        <v>117.249738829504</v>
      </c>
      <c r="U37" s="12">
        <f>1.18929472670668*(100)</f>
        <v>118.92947267066801</v>
      </c>
      <c r="V37" s="12">
        <f>1.28187730146005*(100)</f>
        <v>128.18773014600501</v>
      </c>
      <c r="W37" s="12">
        <f>1.37520507455342*(100)</f>
        <v>137.520507455342</v>
      </c>
      <c r="X37" s="12">
        <f>1.48815131586579*(100)</f>
        <v>148.81513158657901</v>
      </c>
      <c r="Y37" s="12">
        <f>1.62553584981002*(100)</f>
        <v>162.55358498100199</v>
      </c>
      <c r="Z37" s="12">
        <f>1.86904871661643*(100)</f>
        <v>186.904871661643</v>
      </c>
      <c r="AA37" s="12">
        <f>1.899835390846*(100)</f>
        <v>189.98353908460001</v>
      </c>
      <c r="AB37" s="12">
        <f>1.84158444858681*(100)</f>
        <v>184.15844485868101</v>
      </c>
      <c r="AC37" s="12">
        <f>1.8468215962814*(100)</f>
        <v>184.68215962814</v>
      </c>
      <c r="AD37" s="12">
        <f>1.98238572149914*(100)</f>
        <v>198.23857214991401</v>
      </c>
      <c r="AE37" s="12">
        <f>2.03711124367223*(100)</f>
        <v>203.71112436722299</v>
      </c>
      <c r="AF37" s="12">
        <f>2.06758713874977*(100)</f>
        <v>206.75871387497699</v>
      </c>
      <c r="AG37" s="12">
        <f>2.11768241789844*(100)</f>
        <v>211.76824178984401</v>
      </c>
    </row>
    <row r="38" spans="1:33" x14ac:dyDescent="0.25">
      <c r="A38" s="3">
        <v>35</v>
      </c>
      <c r="B38" s="5" t="s">
        <v>37</v>
      </c>
      <c r="C38" s="12">
        <f>0.505900384745938*(100)</f>
        <v>50.590038474593797</v>
      </c>
      <c r="D38" s="12">
        <f>0.543215806134702*(100)</f>
        <v>54.321580613470204</v>
      </c>
      <c r="E38" s="12">
        <f>0.57038308613195*(100)</f>
        <v>57.038308613194999</v>
      </c>
      <c r="F38" s="12">
        <f>0.593065003072883*(100)</f>
        <v>59.306500307288303</v>
      </c>
      <c r="G38" s="12">
        <f>0.63682824600413*(100)</f>
        <v>63.682824600412999</v>
      </c>
      <c r="H38" s="12">
        <f>0.680921057550396*(100)</f>
        <v>68.092105755039597</v>
      </c>
      <c r="I38" s="12">
        <f>0.701060630756049*(100)</f>
        <v>70.106063075604894</v>
      </c>
      <c r="J38" s="12">
        <f>0.798071335754756*(100)</f>
        <v>79.807133575475504</v>
      </c>
      <c r="K38" s="12">
        <f>0.923873836827648*(100)</f>
        <v>92.387383682764806</v>
      </c>
      <c r="L38" s="12">
        <f>0.985392813191118*(100)</f>
        <v>98.539281319111893</v>
      </c>
      <c r="M38" s="12">
        <f>0.986575611623425*(100)</f>
        <v>98.657561162342503</v>
      </c>
      <c r="N38" s="12">
        <f>0.955997505805581*(100)</f>
        <v>95.599750580558094</v>
      </c>
      <c r="O38" s="12">
        <f>0.965800228185892*(100)</f>
        <v>96.5800228185892</v>
      </c>
      <c r="P38" s="12">
        <f t="shared" si="0"/>
        <v>100</v>
      </c>
      <c r="Q38" s="12">
        <f>1.04773122513095*(100)</f>
        <v>104.773122513095</v>
      </c>
      <c r="R38" s="12">
        <f>1.12589251936066*(100)</f>
        <v>112.58925193606601</v>
      </c>
      <c r="S38" s="12">
        <f>1.13944101933001*(100)</f>
        <v>113.94410193300099</v>
      </c>
      <c r="T38" s="12">
        <f>1.22292625229345*(100)</f>
        <v>122.29262522934501</v>
      </c>
      <c r="U38" s="12">
        <f>1.25749536824508*(100)</f>
        <v>125.749536824508</v>
      </c>
      <c r="V38" s="12">
        <f>1.34437767008148*(100)</f>
        <v>134.437767008148</v>
      </c>
      <c r="W38" s="12">
        <f>1.43871743379095*(100)</f>
        <v>143.87174337909499</v>
      </c>
      <c r="X38" s="12">
        <f>1.51520097853767*(100)</f>
        <v>151.520097853767</v>
      </c>
      <c r="Y38" s="12">
        <f>1.58774106433915*(100)</f>
        <v>158.77410643391499</v>
      </c>
      <c r="Z38" s="12">
        <f>1.76916230656162*(100)</f>
        <v>176.91623065616201</v>
      </c>
      <c r="AA38" s="12">
        <f>1.75985423616791*(100)</f>
        <v>175.985423616791</v>
      </c>
      <c r="AB38" s="12">
        <f>1.68421644463651*(100)</f>
        <v>168.42164446365101</v>
      </c>
      <c r="AC38" s="12">
        <f>1.66495582075894*(100)</f>
        <v>166.49558207589399</v>
      </c>
      <c r="AD38" s="12">
        <f>1.79427172663151*(100)</f>
        <v>179.427172663151</v>
      </c>
      <c r="AE38" s="12">
        <f>1.80796078671797*(100)</f>
        <v>180.79607867179701</v>
      </c>
      <c r="AF38" s="12">
        <f>1.82589565953349*(100)</f>
        <v>182.58956595334899</v>
      </c>
      <c r="AG38" s="12">
        <f>1.84438439902326*(100)</f>
        <v>184.438439902326</v>
      </c>
    </row>
    <row r="39" spans="1:33" x14ac:dyDescent="0.25">
      <c r="A39" s="3">
        <v>36</v>
      </c>
      <c r="B39" s="5" t="s">
        <v>38</v>
      </c>
      <c r="C39" s="12">
        <f>0.45896957504604*(100)</f>
        <v>45.896957504604003</v>
      </c>
      <c r="D39" s="12">
        <f>0.484992886856905*(100)</f>
        <v>48.499288685690502</v>
      </c>
      <c r="E39" s="12">
        <f>0.505131112272124*(100)</f>
        <v>50.513111227212399</v>
      </c>
      <c r="F39" s="12">
        <f>0.527690853469252*(100)</f>
        <v>52.769085346925202</v>
      </c>
      <c r="G39" s="12">
        <f>0.579407371387326*(100)</f>
        <v>57.940737138732601</v>
      </c>
      <c r="H39" s="12">
        <f>0.624379194961063*(100)</f>
        <v>62.437919496106304</v>
      </c>
      <c r="I39" s="12">
        <f>0.665231553280648*(100)</f>
        <v>66.523155328064803</v>
      </c>
      <c r="J39" s="12">
        <f>0.70692961702025*(100)</f>
        <v>70.692961702025002</v>
      </c>
      <c r="K39" s="12">
        <f>0.777782362579218*(100)</f>
        <v>77.778236257921705</v>
      </c>
      <c r="L39" s="12">
        <f>0.85051671064902*(100)</f>
        <v>85.051671064901996</v>
      </c>
      <c r="M39" s="12">
        <f>0.870627765825553*(100)</f>
        <v>87.062776582555301</v>
      </c>
      <c r="N39" s="12">
        <f>0.863705703147367*(100)</f>
        <v>86.370570314736796</v>
      </c>
      <c r="O39" s="12">
        <f>0.906018906169358*(100)</f>
        <v>90.601890616935805</v>
      </c>
      <c r="P39" s="12">
        <f t="shared" si="0"/>
        <v>100</v>
      </c>
      <c r="Q39" s="12">
        <f>1.09596998069516*(100)</f>
        <v>109.596998069516</v>
      </c>
      <c r="R39" s="12">
        <f>1.20055508543707*(100)</f>
        <v>120.05550854370701</v>
      </c>
      <c r="S39" s="12">
        <f>1.21724637248747*(100)</f>
        <v>121.724637248747</v>
      </c>
      <c r="T39" s="12">
        <f>1.28986962729162*(100)</f>
        <v>128.986962729162</v>
      </c>
      <c r="U39" s="12">
        <f>1.38829381692972*(100)</f>
        <v>138.82938169297299</v>
      </c>
      <c r="V39" s="12">
        <f>1.49798286370507*(100)</f>
        <v>149.79828637050699</v>
      </c>
      <c r="W39" s="12">
        <f>1.61634289856931*(100)</f>
        <v>161.63428985693099</v>
      </c>
      <c r="X39" s="12">
        <f>1.74039471754696*(100)</f>
        <v>174.039471754696</v>
      </c>
      <c r="Y39" s="12">
        <f>1.77380839776214*(100)</f>
        <v>177.380839776214</v>
      </c>
      <c r="Z39" s="12">
        <f>1.97721318416788*(100)</f>
        <v>197.72131841678799</v>
      </c>
      <c r="AA39" s="12">
        <f>2.01052656303464*(100)</f>
        <v>201.052656303464</v>
      </c>
      <c r="AB39" s="12">
        <f>1.98586893660891*(100)</f>
        <v>198.58689366089101</v>
      </c>
      <c r="AC39" s="12">
        <f>2.04061252382951*(100)</f>
        <v>204.06125238295101</v>
      </c>
      <c r="AD39" s="12">
        <f>2.2919321531208*(100)</f>
        <v>229.19321531208001</v>
      </c>
      <c r="AE39" s="12">
        <f>2.37913338365329*(100)</f>
        <v>237.913338365329</v>
      </c>
      <c r="AF39" s="12">
        <f>2.46846062188106*(100)</f>
        <v>246.846062188106</v>
      </c>
      <c r="AG39" s="12">
        <f>2.5514326904948*(100)</f>
        <v>255.14326904948001</v>
      </c>
    </row>
    <row r="40" spans="1:33" x14ac:dyDescent="0.25">
      <c r="A40" s="3">
        <v>37</v>
      </c>
      <c r="B40" s="6" t="s">
        <v>39</v>
      </c>
      <c r="C40" s="12">
        <f>0.7884082856025*(100)</f>
        <v>78.840828560250003</v>
      </c>
      <c r="D40" s="12">
        <f>0.823677603628787*(100)</f>
        <v>82.367760362878698</v>
      </c>
      <c r="E40" s="12">
        <f>0.838534991781034*(100)</f>
        <v>83.853499178103405</v>
      </c>
      <c r="F40" s="12">
        <f>0.885711096087938*(100)</f>
        <v>88.571109608793805</v>
      </c>
      <c r="G40" s="12">
        <f>0.880020032433464*(100)</f>
        <v>88.002003243346394</v>
      </c>
      <c r="H40" s="12">
        <f>0.896613150069056*(100)</f>
        <v>89.661315006905596</v>
      </c>
      <c r="I40" s="12">
        <f>0.757218381174766*(100)</f>
        <v>75.721838117476594</v>
      </c>
      <c r="J40" s="12">
        <f>0.665308014217636*(100)</f>
        <v>66.530801421763599</v>
      </c>
      <c r="K40" s="12">
        <f>0.724732728074578*(100)</f>
        <v>72.473272807457803</v>
      </c>
      <c r="L40" s="12">
        <f>0.831617304483311*(100)</f>
        <v>83.161730448331099</v>
      </c>
      <c r="M40" s="12">
        <f>0.860937722496188*(100)</f>
        <v>86.093772249618794</v>
      </c>
      <c r="N40" s="12">
        <f>0.861384961435146*(100)</f>
        <v>86.138496143514601</v>
      </c>
      <c r="O40" s="12">
        <f>0.909381925463863*(100)</f>
        <v>90.938192546386304</v>
      </c>
      <c r="P40" s="12">
        <f t="shared" si="0"/>
        <v>100</v>
      </c>
      <c r="Q40" s="12">
        <f>1.05146807737026*(100)</f>
        <v>105.14680773702599</v>
      </c>
      <c r="R40" s="12">
        <f>1.14512177756395*(100)</f>
        <v>114.512177756395</v>
      </c>
      <c r="S40" s="12">
        <f>1.07965346240359*(100)</f>
        <v>107.965346240359</v>
      </c>
      <c r="T40" s="12">
        <f>1.00454808129656*(100)</f>
        <v>100.454808129656</v>
      </c>
      <c r="U40" s="12">
        <f>1.10328696426374*(100)</f>
        <v>110.32869642637399</v>
      </c>
      <c r="V40" s="12">
        <f>1.14304837231294*(100)</f>
        <v>114.304837231294</v>
      </c>
      <c r="W40" s="12">
        <f>1.16523508731182*(100)</f>
        <v>116.52350873118201</v>
      </c>
      <c r="X40" s="12">
        <f>1.18892458044563*(100)</f>
        <v>118.892458044563</v>
      </c>
      <c r="Y40" s="12">
        <f>1.2189200043687*(100)</f>
        <v>121.89200043687001</v>
      </c>
      <c r="Z40" s="12">
        <f>1.36400860191863*(100)</f>
        <v>136.40086019186299</v>
      </c>
      <c r="AA40" s="12">
        <f>1.39819956948932*(100)</f>
        <v>139.819956948932</v>
      </c>
      <c r="AB40" s="12">
        <f>1.36822453744987*(100)</f>
        <v>136.822453744987</v>
      </c>
      <c r="AC40" s="12">
        <f>1.39555968462397*(100)</f>
        <v>139.555968462397</v>
      </c>
      <c r="AD40" s="12">
        <f>1.56797271496847*(100)</f>
        <v>156.797271496847</v>
      </c>
      <c r="AE40" s="12">
        <f>1.63235161966856*(100)</f>
        <v>163.235161966856</v>
      </c>
      <c r="AF40" s="12">
        <f>1.69100420694928*(100)</f>
        <v>169.100420694928</v>
      </c>
      <c r="AG40" s="12">
        <f>1.79166718510439*(100)</f>
        <v>179.16671851043901</v>
      </c>
    </row>
    <row r="42" spans="1:33" x14ac:dyDescent="0.25">
      <c r="C42" s="12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"/>
  <sheetViews>
    <sheetView topLeftCell="A10" zoomScale="51" workbookViewId="0">
      <selection activeCell="B4" sqref="B4"/>
    </sheetView>
  </sheetViews>
  <sheetFormatPr defaultColWidth="9" defaultRowHeight="14" x14ac:dyDescent="0.25"/>
  <sheetData>
    <row r="1" spans="1:33" x14ac:dyDescent="0.25">
      <c r="A1" s="2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s="3" t="s">
        <v>41</v>
      </c>
      <c r="B2" s="3" t="s">
        <v>2</v>
      </c>
      <c r="C2" s="10">
        <v>1987</v>
      </c>
      <c r="D2" s="10">
        <v>1988</v>
      </c>
      <c r="E2" s="10">
        <v>1989</v>
      </c>
      <c r="F2" s="10">
        <v>1990</v>
      </c>
      <c r="G2" s="10">
        <v>1991</v>
      </c>
      <c r="H2" s="10">
        <v>1992</v>
      </c>
      <c r="I2" s="10">
        <v>1993</v>
      </c>
      <c r="J2" s="10">
        <v>1994</v>
      </c>
      <c r="K2" s="10">
        <v>1995</v>
      </c>
      <c r="L2" s="10">
        <v>1996</v>
      </c>
      <c r="M2" s="10">
        <v>1997</v>
      </c>
      <c r="N2" s="10">
        <v>1998</v>
      </c>
      <c r="O2" s="10">
        <v>1999</v>
      </c>
      <c r="P2" s="10">
        <v>2000</v>
      </c>
      <c r="Q2" s="10">
        <v>2001</v>
      </c>
      <c r="R2" s="10">
        <v>2002</v>
      </c>
      <c r="S2" s="10">
        <v>2003</v>
      </c>
      <c r="T2" s="10">
        <v>2004</v>
      </c>
      <c r="U2" s="10">
        <v>2005</v>
      </c>
      <c r="V2" s="10">
        <v>2006</v>
      </c>
      <c r="W2" s="10">
        <v>2007</v>
      </c>
      <c r="X2" s="10">
        <v>2008</v>
      </c>
      <c r="Y2" s="10">
        <v>2009</v>
      </c>
      <c r="Z2" s="10">
        <v>2010</v>
      </c>
      <c r="AA2" s="10">
        <v>2011</v>
      </c>
      <c r="AB2" s="10">
        <v>2012</v>
      </c>
      <c r="AC2" s="10">
        <v>2013</v>
      </c>
      <c r="AD2" s="10">
        <v>2014</v>
      </c>
      <c r="AE2" s="10">
        <v>2015</v>
      </c>
      <c r="AF2" s="10">
        <v>2016</v>
      </c>
      <c r="AG2" s="10">
        <v>2017</v>
      </c>
    </row>
    <row r="3" spans="1:33" x14ac:dyDescent="0.25">
      <c r="A3" s="3"/>
      <c r="B3" s="3" t="s">
        <v>42</v>
      </c>
      <c r="C3" s="11">
        <v>100</v>
      </c>
      <c r="D3" s="11">
        <v>121.77229249702368</v>
      </c>
      <c r="E3" s="11">
        <v>133.79664819615027</v>
      </c>
      <c r="F3" s="11">
        <v>146.61142246755156</v>
      </c>
      <c r="G3" s="11">
        <v>166.52720696223491</v>
      </c>
      <c r="H3" s="11">
        <v>198.86597922288649</v>
      </c>
      <c r="I3" s="11">
        <v>274.18862473907751</v>
      </c>
      <c r="J3" s="11">
        <v>392.31337098367459</v>
      </c>
      <c r="K3" s="11">
        <v>501.95256257744688</v>
      </c>
      <c r="L3" s="11">
        <v>612.72180311161333</v>
      </c>
      <c r="M3" s="11">
        <v>702.83676174285381</v>
      </c>
      <c r="N3" s="11">
        <v>727.2855246621674</v>
      </c>
      <c r="O3" s="11">
        <v>743.43452190333778</v>
      </c>
      <c r="P3" s="11">
        <v>816.83826265641903</v>
      </c>
      <c r="Q3" s="11">
        <v>885.21482685491549</v>
      </c>
      <c r="R3" s="11">
        <v>953.66599462516899</v>
      </c>
      <c r="S3" s="11">
        <v>1039.9088695500363</v>
      </c>
      <c r="T3" s="11">
        <v>1186.6592530505654</v>
      </c>
      <c r="U3" s="11">
        <v>1358.6306945083218</v>
      </c>
      <c r="V3" s="11">
        <v>1519.1682781425227</v>
      </c>
      <c r="W3" s="11">
        <v>1793.610229070352</v>
      </c>
      <c r="X3" s="11">
        <v>2244.259574488447</v>
      </c>
      <c r="Y3" s="11">
        <v>2568.0660840002847</v>
      </c>
      <c r="Z3" s="11">
        <v>3025.5833632227323</v>
      </c>
      <c r="AA3" s="11">
        <v>3695.6314602382881</v>
      </c>
      <c r="AB3" s="11">
        <v>4216.9839504288138</v>
      </c>
      <c r="AC3" s="11">
        <v>4669.212801233406</v>
      </c>
      <c r="AD3" s="11">
        <v>5063.3736002348105</v>
      </c>
      <c r="AE3" s="11">
        <v>5539.1425978370025</v>
      </c>
      <c r="AF3" s="11">
        <v>6061.1392809478803</v>
      </c>
      <c r="AG3" s="11">
        <v>6771.1552583897001</v>
      </c>
    </row>
    <row r="4" spans="1:33" x14ac:dyDescent="0.25">
      <c r="A4" s="3">
        <v>1</v>
      </c>
      <c r="B4" s="5" t="s">
        <v>3</v>
      </c>
      <c r="C4" s="11">
        <v>100</v>
      </c>
      <c r="D4" s="11">
        <v>118.84276705074946</v>
      </c>
      <c r="E4" s="11">
        <v>129.99575584388319</v>
      </c>
      <c r="F4" s="11">
        <v>149.58783717317655</v>
      </c>
      <c r="G4" s="11">
        <v>159.95598730159614</v>
      </c>
      <c r="H4" s="11">
        <v>177.73750676510141</v>
      </c>
      <c r="I4" s="11">
        <v>211.03261604430051</v>
      </c>
      <c r="J4" s="11">
        <v>288.81013119343515</v>
      </c>
      <c r="K4" s="11">
        <v>358.34338177557277</v>
      </c>
      <c r="L4" s="11">
        <v>420.46760798179423</v>
      </c>
      <c r="M4" s="11">
        <v>440.55835158505846</v>
      </c>
      <c r="N4" s="11">
        <v>444.8977492068712</v>
      </c>
      <c r="O4" s="11">
        <v>435.24533551253319</v>
      </c>
      <c r="P4" s="11">
        <v>432.58622050076877</v>
      </c>
      <c r="Q4" s="11">
        <v>448.55064327989504</v>
      </c>
      <c r="R4" s="11">
        <v>460.22120360930558</v>
      </c>
      <c r="S4" s="11">
        <v>500.53025881705196</v>
      </c>
      <c r="T4" s="11">
        <v>636.83892749723066</v>
      </c>
      <c r="U4" s="11">
        <v>713.81700491884146</v>
      </c>
      <c r="V4" s="11">
        <v>758.55444251219296</v>
      </c>
      <c r="W4" s="11">
        <v>895.22982574628168</v>
      </c>
      <c r="X4" s="11">
        <v>1052.0842421539598</v>
      </c>
      <c r="Y4" s="11">
        <v>1097.6218474279756</v>
      </c>
      <c r="Z4" s="11">
        <v>1231.96972293412</v>
      </c>
      <c r="AA4" s="11">
        <v>1473.8226637936643</v>
      </c>
      <c r="AB4" s="11">
        <v>1658.2342016415612</v>
      </c>
      <c r="AC4" s="11">
        <v>1774.7006583829739</v>
      </c>
      <c r="AD4" s="11">
        <v>1802.7576239260575</v>
      </c>
      <c r="AE4" s="11">
        <v>1890.469488480124</v>
      </c>
      <c r="AF4" s="11">
        <v>1960.4122080144</v>
      </c>
      <c r="AG4" s="11">
        <v>2017.1973483930788</v>
      </c>
    </row>
    <row r="5" spans="1:33" x14ac:dyDescent="0.25">
      <c r="A5" s="3">
        <v>2</v>
      </c>
      <c r="B5" s="5" t="s">
        <v>4</v>
      </c>
      <c r="C5" s="11">
        <v>100</v>
      </c>
      <c r="D5" s="11">
        <v>126.25200552234004</v>
      </c>
      <c r="E5" s="11">
        <v>141.86704772605822</v>
      </c>
      <c r="F5" s="11">
        <v>142.69567402226915</v>
      </c>
      <c r="G5" s="11">
        <v>163.43314295540063</v>
      </c>
      <c r="H5" s="11">
        <v>201.56752886083368</v>
      </c>
      <c r="I5" s="11">
        <v>298.72772087427802</v>
      </c>
      <c r="J5" s="11">
        <v>437.44226165638224</v>
      </c>
      <c r="K5" s="11">
        <v>565.74984485756704</v>
      </c>
      <c r="L5" s="11">
        <v>687.83362505369507</v>
      </c>
      <c r="M5" s="11">
        <v>788.48048508837951</v>
      </c>
      <c r="N5" s="11">
        <v>869.07408052498454</v>
      </c>
      <c r="O5" s="11">
        <v>973.86460144673958</v>
      </c>
      <c r="P5" s="11">
        <v>1135.522963674171</v>
      </c>
      <c r="Q5" s="11">
        <v>1297.2628544280631</v>
      </c>
      <c r="R5" s="11">
        <v>1480.6670981678635</v>
      </c>
      <c r="S5" s="11">
        <v>1509.912545302597</v>
      </c>
      <c r="T5" s="11">
        <v>1559.6512993158913</v>
      </c>
      <c r="U5" s="11">
        <v>2020.4918245417173</v>
      </c>
      <c r="V5" s="11">
        <v>2174.8041488914187</v>
      </c>
      <c r="W5" s="11">
        <v>2217.7262710429627</v>
      </c>
      <c r="X5" s="11">
        <v>3615.3634472886847</v>
      </c>
      <c r="Y5" s="11">
        <v>3453.4901462187654</v>
      </c>
      <c r="Z5" s="11">
        <v>4393.7162894101757</v>
      </c>
      <c r="AA5" s="11">
        <v>5673.6665083036805</v>
      </c>
      <c r="AB5" s="11">
        <v>5709.8651740522864</v>
      </c>
      <c r="AC5" s="11">
        <v>5389.4178302040309</v>
      </c>
      <c r="AD5" s="11">
        <v>4595.9610344466482</v>
      </c>
      <c r="AE5" s="11">
        <v>3711.6899307081635</v>
      </c>
      <c r="AF5" s="11">
        <v>3394.4931397980226</v>
      </c>
      <c r="AG5" s="11">
        <v>3736.0013137739688</v>
      </c>
    </row>
    <row r="6" spans="1:33" x14ac:dyDescent="0.25">
      <c r="A6" s="3">
        <v>3</v>
      </c>
      <c r="B6" s="5" t="s">
        <v>5</v>
      </c>
      <c r="C6" s="11">
        <v>100</v>
      </c>
      <c r="D6" s="11">
        <v>153.53925526340859</v>
      </c>
      <c r="E6" s="11">
        <v>205.94812803658189</v>
      </c>
      <c r="F6" s="11">
        <v>215.33384538439554</v>
      </c>
      <c r="G6" s="11">
        <v>272.60839406497098</v>
      </c>
      <c r="H6" s="11">
        <v>370.13893850623992</v>
      </c>
      <c r="I6" s="11">
        <v>680.87146922930356</v>
      </c>
      <c r="J6" s="11">
        <v>1206.2906366104601</v>
      </c>
      <c r="K6" s="11">
        <v>1769.514504144041</v>
      </c>
      <c r="L6" s="11">
        <v>2478.9999523673428</v>
      </c>
      <c r="M6" s="11">
        <v>3249.3748213775366</v>
      </c>
      <c r="N6" s="11">
        <v>3545.6782294941413</v>
      </c>
      <c r="O6" s="11">
        <v>3935.8477422120609</v>
      </c>
      <c r="P6" s="11">
        <v>4851.8192697913682</v>
      </c>
      <c r="Q6" s="11">
        <v>5662.0611841478512</v>
      </c>
      <c r="R6" s="11">
        <v>6594.311172239687</v>
      </c>
      <c r="S6" s="11">
        <v>8011.6298108983519</v>
      </c>
      <c r="T6" s="11">
        <v>9773.4159164523171</v>
      </c>
      <c r="U6" s="11">
        <v>13786.025173859194</v>
      </c>
      <c r="V6" s="11">
        <v>16716.904234543199</v>
      </c>
      <c r="W6" s="11">
        <v>19147.137277317324</v>
      </c>
      <c r="X6" s="11">
        <v>25297.986924835663</v>
      </c>
      <c r="Y6" s="11">
        <v>19219.821734781362</v>
      </c>
      <c r="Z6" s="11">
        <v>23139.647042011999</v>
      </c>
      <c r="AA6" s="11">
        <v>25480.658164237393</v>
      </c>
      <c r="AB6" s="11">
        <v>21511.711679527474</v>
      </c>
      <c r="AC6" s="11">
        <v>21813.568757740297</v>
      </c>
      <c r="AD6" s="11">
        <v>19993.673787748874</v>
      </c>
      <c r="AE6" s="11">
        <v>15287.135610174329</v>
      </c>
      <c r="AF6" s="11">
        <v>14109.461334190717</v>
      </c>
      <c r="AG6" s="11">
        <v>15677.023792512142</v>
      </c>
    </row>
    <row r="7" spans="1:33" x14ac:dyDescent="0.25">
      <c r="A7" s="3">
        <v>4</v>
      </c>
      <c r="B7" s="5" t="s">
        <v>6</v>
      </c>
      <c r="C7" s="11">
        <v>100</v>
      </c>
      <c r="D7" s="11">
        <v>127.13307024598805</v>
      </c>
      <c r="E7" s="11">
        <v>143.93614228385928</v>
      </c>
      <c r="F7" s="11">
        <v>139.64708235578468</v>
      </c>
      <c r="G7" s="11">
        <v>157.42756416400317</v>
      </c>
      <c r="H7" s="11">
        <v>190.87834224413231</v>
      </c>
      <c r="I7" s="11">
        <v>340.2354173351502</v>
      </c>
      <c r="J7" s="11">
        <v>588.9204667786247</v>
      </c>
      <c r="K7" s="11">
        <v>823.31823428664291</v>
      </c>
      <c r="L7" s="11">
        <v>1123.1287669482288</v>
      </c>
      <c r="M7" s="11">
        <v>1439.4378209589215</v>
      </c>
      <c r="N7" s="11">
        <v>1425.1374818901729</v>
      </c>
      <c r="O7" s="11">
        <v>1428.6441556132479</v>
      </c>
      <c r="P7" s="11">
        <v>1669.1628016163068</v>
      </c>
      <c r="Q7" s="11">
        <v>1801.9753775803467</v>
      </c>
      <c r="R7" s="11">
        <v>1940.7129750400395</v>
      </c>
      <c r="S7" s="11">
        <v>2392.3550484572443</v>
      </c>
      <c r="T7" s="11">
        <v>2952.1657478056372</v>
      </c>
      <c r="U7" s="11">
        <v>4063.0492851219524</v>
      </c>
      <c r="V7" s="11">
        <v>4901.3089081597363</v>
      </c>
      <c r="W7" s="11">
        <v>5588.4884701345854</v>
      </c>
      <c r="X7" s="11">
        <v>8756.5303029671632</v>
      </c>
      <c r="Y7" s="11">
        <v>8068.6277369626587</v>
      </c>
      <c r="Z7" s="11">
        <v>10605.045331866488</v>
      </c>
      <c r="AA7" s="11">
        <v>13673.214680107178</v>
      </c>
      <c r="AB7" s="11">
        <v>13740.521424116523</v>
      </c>
      <c r="AC7" s="11">
        <v>12823.070287659757</v>
      </c>
      <c r="AD7" s="11">
        <v>10800.277255723953</v>
      </c>
      <c r="AE7" s="11">
        <v>8662.4911621265346</v>
      </c>
      <c r="AF7" s="11">
        <v>7839.947326968676</v>
      </c>
      <c r="AG7" s="11">
        <v>8534.1075935564422</v>
      </c>
    </row>
    <row r="8" spans="1:33" x14ac:dyDescent="0.25">
      <c r="A8" s="3">
        <v>5</v>
      </c>
      <c r="B8" s="5" t="s">
        <v>7</v>
      </c>
      <c r="C8" s="11">
        <v>100</v>
      </c>
      <c r="D8" s="11">
        <v>155.73745827784307</v>
      </c>
      <c r="E8" s="11">
        <v>211.11032480594668</v>
      </c>
      <c r="F8" s="11">
        <v>224.94870751862524</v>
      </c>
      <c r="G8" s="11">
        <v>288.05289171463437</v>
      </c>
      <c r="H8" s="11">
        <v>394.97411693905639</v>
      </c>
      <c r="I8" s="11">
        <v>589.4027114526275</v>
      </c>
      <c r="J8" s="11">
        <v>869.48473484489659</v>
      </c>
      <c r="K8" s="11">
        <v>1193.4866071179808</v>
      </c>
      <c r="L8" s="11">
        <v>1503.7473322894664</v>
      </c>
      <c r="M8" s="11">
        <v>1789.3703924529559</v>
      </c>
      <c r="N8" s="11">
        <v>1785.6720958871283</v>
      </c>
      <c r="O8" s="11">
        <v>1806.4097491934176</v>
      </c>
      <c r="P8" s="11">
        <v>2033.0673516808661</v>
      </c>
      <c r="Q8" s="11">
        <v>2159.4190381197027</v>
      </c>
      <c r="R8" s="11">
        <v>2284.2378009706845</v>
      </c>
      <c r="S8" s="11">
        <v>2372.4887301419244</v>
      </c>
      <c r="T8" s="11">
        <v>2500.8402939914513</v>
      </c>
      <c r="U8" s="11">
        <v>3134.3004886855633</v>
      </c>
      <c r="V8" s="11">
        <v>3348.8947459336559</v>
      </c>
      <c r="W8" s="11">
        <v>3387.2730008191188</v>
      </c>
      <c r="X8" s="11">
        <v>5121.3427987139257</v>
      </c>
      <c r="Y8" s="11">
        <v>4557.1305186084992</v>
      </c>
      <c r="Z8" s="11">
        <v>5555.9987963958729</v>
      </c>
      <c r="AA8" s="11">
        <v>6788.0988069831319</v>
      </c>
      <c r="AB8" s="11">
        <v>6468.5363393717835</v>
      </c>
      <c r="AC8" s="11">
        <v>7708.0647048662377</v>
      </c>
      <c r="AD8" s="11">
        <v>8050.9860081020361</v>
      </c>
      <c r="AE8" s="11">
        <v>6959.1164654158829</v>
      </c>
      <c r="AF8" s="11">
        <v>7168.8890622475055</v>
      </c>
      <c r="AG8" s="11">
        <v>8815.3247780854872</v>
      </c>
    </row>
    <row r="9" spans="1:33" x14ac:dyDescent="0.25">
      <c r="A9" s="3">
        <v>6</v>
      </c>
      <c r="B9" s="5" t="s">
        <v>8</v>
      </c>
      <c r="C9" s="11">
        <v>100</v>
      </c>
      <c r="D9" s="11">
        <v>124.15581243546718</v>
      </c>
      <c r="E9" s="11">
        <v>137.50257983949533</v>
      </c>
      <c r="F9" s="11">
        <v>143.95719462544855</v>
      </c>
      <c r="G9" s="11">
        <v>167.16697015842021</v>
      </c>
      <c r="H9" s="11">
        <v>209.1752277072037</v>
      </c>
      <c r="I9" s="11">
        <v>358.06861098789932</v>
      </c>
      <c r="J9" s="11">
        <v>597.52412011821093</v>
      </c>
      <c r="K9" s="11">
        <v>831.11976598259378</v>
      </c>
      <c r="L9" s="11">
        <v>1111.6772558551124</v>
      </c>
      <c r="M9" s="11">
        <v>1397.9347731133364</v>
      </c>
      <c r="N9" s="11">
        <v>1331.0943542873511</v>
      </c>
      <c r="O9" s="11">
        <v>1292.3302495074922</v>
      </c>
      <c r="P9" s="11">
        <v>1471.4874150236599</v>
      </c>
      <c r="Q9" s="11">
        <v>1550.1605503539745</v>
      </c>
      <c r="R9" s="11">
        <v>1633.8954007483273</v>
      </c>
      <c r="S9" s="11">
        <v>1900.0066733321432</v>
      </c>
      <c r="T9" s="11">
        <v>2214.1733030475039</v>
      </c>
      <c r="U9" s="11">
        <v>2555.6652391432044</v>
      </c>
      <c r="V9" s="11">
        <v>2983.5230568044949</v>
      </c>
      <c r="W9" s="11">
        <v>3602.7051596642609</v>
      </c>
      <c r="X9" s="11">
        <v>4481.8408025794151</v>
      </c>
      <c r="Y9" s="11">
        <v>5136.3164355626468</v>
      </c>
      <c r="Z9" s="11">
        <v>6238.6227420972236</v>
      </c>
      <c r="AA9" s="11">
        <v>7557.1464831760622</v>
      </c>
      <c r="AB9" s="11">
        <v>8494.7570148432333</v>
      </c>
      <c r="AC9" s="11">
        <v>9682.8414193838707</v>
      </c>
      <c r="AD9" s="11">
        <v>11030.555464302615</v>
      </c>
      <c r="AE9" s="11">
        <v>11929.884934370806</v>
      </c>
      <c r="AF9" s="11">
        <v>13240.38152603639</v>
      </c>
      <c r="AG9" s="11">
        <v>15546.492132760135</v>
      </c>
    </row>
    <row r="10" spans="1:33" x14ac:dyDescent="0.25">
      <c r="A10" s="3">
        <v>7</v>
      </c>
      <c r="B10" s="5" t="s">
        <v>9</v>
      </c>
      <c r="C10" s="11">
        <v>100</v>
      </c>
      <c r="D10" s="11">
        <v>135.21301616114033</v>
      </c>
      <c r="E10" s="11">
        <v>162.85451222221241</v>
      </c>
      <c r="F10" s="11">
        <v>177.94002068141484</v>
      </c>
      <c r="G10" s="11">
        <v>220.06059724217431</v>
      </c>
      <c r="H10" s="11">
        <v>293.24547349533862</v>
      </c>
      <c r="I10" s="11">
        <v>473.16574366675206</v>
      </c>
      <c r="J10" s="11">
        <v>748.94107565330125</v>
      </c>
      <c r="K10" s="11">
        <v>1044.894319256412</v>
      </c>
      <c r="L10" s="11">
        <v>1367.0104369062763</v>
      </c>
      <c r="M10" s="11">
        <v>1684.0277470736382</v>
      </c>
      <c r="N10" s="11">
        <v>1629.3969778552364</v>
      </c>
      <c r="O10" s="11">
        <v>1609.046497812212</v>
      </c>
      <c r="P10" s="11">
        <v>1827.7542014650624</v>
      </c>
      <c r="Q10" s="11">
        <v>1940.1589505267214</v>
      </c>
      <c r="R10" s="11">
        <v>2060.9809657561532</v>
      </c>
      <c r="S10" s="11">
        <v>3216.2306500282825</v>
      </c>
      <c r="T10" s="11">
        <v>4633.0174312868148</v>
      </c>
      <c r="U10" s="11">
        <v>5863.4222730638085</v>
      </c>
      <c r="V10" s="11">
        <v>7681.3127419541961</v>
      </c>
      <c r="W10" s="11">
        <v>10240.459632252392</v>
      </c>
      <c r="X10" s="11">
        <v>11941.826218771206</v>
      </c>
      <c r="Y10" s="11">
        <v>12771.231878640445</v>
      </c>
      <c r="Z10" s="11">
        <v>15795.525708006177</v>
      </c>
      <c r="AA10" s="11">
        <v>18640.78783381874</v>
      </c>
      <c r="AB10" s="11">
        <v>20405.082944049507</v>
      </c>
      <c r="AC10" s="11">
        <v>18167.668983746138</v>
      </c>
      <c r="AD10" s="11">
        <v>15645.798481344251</v>
      </c>
      <c r="AE10" s="11">
        <v>14155.562933481033</v>
      </c>
      <c r="AF10" s="11">
        <v>11771.133536074436</v>
      </c>
      <c r="AG10" s="11">
        <v>9600.4585389617423</v>
      </c>
    </row>
    <row r="11" spans="1:33" x14ac:dyDescent="0.25">
      <c r="A11" s="3">
        <v>8</v>
      </c>
      <c r="B11" s="5" t="s">
        <v>10</v>
      </c>
      <c r="C11" s="11">
        <v>100</v>
      </c>
      <c r="D11" s="11">
        <v>126.11068475918141</v>
      </c>
      <c r="E11" s="11">
        <v>141.98476413812435</v>
      </c>
      <c r="F11" s="11">
        <v>145.02185219812432</v>
      </c>
      <c r="G11" s="11">
        <v>167.64037281200274</v>
      </c>
      <c r="H11" s="11">
        <v>208.75173270753609</v>
      </c>
      <c r="I11" s="11">
        <v>316.08576453636942</v>
      </c>
      <c r="J11" s="11">
        <v>469.2620674213382</v>
      </c>
      <c r="K11" s="11">
        <v>612.22697571389278</v>
      </c>
      <c r="L11" s="11">
        <v>749.2653832808893</v>
      </c>
      <c r="M11" s="11">
        <v>862.59693334267729</v>
      </c>
      <c r="N11" s="11">
        <v>818.10954984642808</v>
      </c>
      <c r="O11" s="11">
        <v>790.88933404208422</v>
      </c>
      <c r="P11" s="11">
        <v>855.80454888072666</v>
      </c>
      <c r="Q11" s="11">
        <v>874.63743468696782</v>
      </c>
      <c r="R11" s="11">
        <v>892.50632833504585</v>
      </c>
      <c r="S11" s="11">
        <v>970.298273531066</v>
      </c>
      <c r="T11" s="11">
        <v>1057.7762888694804</v>
      </c>
      <c r="U11" s="11">
        <v>1157.9084104897393</v>
      </c>
      <c r="V11" s="11">
        <v>1271.6748680065709</v>
      </c>
      <c r="W11" s="11">
        <v>1443.1757388470048</v>
      </c>
      <c r="X11" s="11">
        <v>1700.0565747170851</v>
      </c>
      <c r="Y11" s="11">
        <v>1839.0603127505071</v>
      </c>
      <c r="Z11" s="11">
        <v>2093.5790259918967</v>
      </c>
      <c r="AA11" s="11">
        <v>2373.4042425910216</v>
      </c>
      <c r="AB11" s="11">
        <v>2486.961322378465</v>
      </c>
      <c r="AC11" s="11">
        <v>2556.1465609921624</v>
      </c>
      <c r="AD11" s="11">
        <v>2635.5118302690144</v>
      </c>
      <c r="AE11" s="11">
        <v>2610.3010424447139</v>
      </c>
      <c r="AF11" s="11">
        <v>2638.9661355024323</v>
      </c>
      <c r="AG11" s="11">
        <v>2822.0887522283801</v>
      </c>
    </row>
    <row r="12" spans="1:33" x14ac:dyDescent="0.25">
      <c r="A12" s="3">
        <v>9</v>
      </c>
      <c r="B12" s="5" t="s">
        <v>11</v>
      </c>
      <c r="C12" s="11">
        <v>100</v>
      </c>
      <c r="D12" s="11">
        <v>128.83657919058786</v>
      </c>
      <c r="E12" s="11">
        <v>148.23465305102553</v>
      </c>
      <c r="F12" s="11">
        <v>159.94045164028935</v>
      </c>
      <c r="G12" s="11">
        <v>192.42718271231038</v>
      </c>
      <c r="H12" s="11">
        <v>249.70442578582461</v>
      </c>
      <c r="I12" s="11">
        <v>469.19230387124554</v>
      </c>
      <c r="J12" s="11">
        <v>841.85183958671394</v>
      </c>
      <c r="K12" s="11">
        <v>1225.2785496452086</v>
      </c>
      <c r="L12" s="11">
        <v>1716.9932594146921</v>
      </c>
      <c r="M12" s="11">
        <v>2248.4145023437009</v>
      </c>
      <c r="N12" s="11">
        <v>1925.5401650374663</v>
      </c>
      <c r="O12" s="11">
        <v>1644.0170155373653</v>
      </c>
      <c r="P12" s="11">
        <v>1799.4012048156499</v>
      </c>
      <c r="Q12" s="11">
        <v>1713.1954709528638</v>
      </c>
      <c r="R12" s="11">
        <v>1606.7056631152402</v>
      </c>
      <c r="S12" s="11">
        <v>1923.841320781414</v>
      </c>
      <c r="T12" s="11">
        <v>2301.8282972119441</v>
      </c>
      <c r="U12" s="11">
        <v>2545.6634765042882</v>
      </c>
      <c r="V12" s="11">
        <v>2948.9657310930938</v>
      </c>
      <c r="W12" s="11">
        <v>3534.5744760918442</v>
      </c>
      <c r="X12" s="11">
        <v>4289.0895242453325</v>
      </c>
      <c r="Y12" s="11">
        <v>4791.5897726143749</v>
      </c>
      <c r="Z12" s="11">
        <v>5726.6886837042794</v>
      </c>
      <c r="AA12" s="11">
        <v>6791.7944889167184</v>
      </c>
      <c r="AB12" s="11">
        <v>7472.9247637483522</v>
      </c>
      <c r="AC12" s="11">
        <v>7994.424491295038</v>
      </c>
      <c r="AD12" s="11">
        <v>8587.6562090755524</v>
      </c>
      <c r="AE12" s="11">
        <v>8941.532421944381</v>
      </c>
      <c r="AF12" s="11">
        <v>9488.9769302790428</v>
      </c>
      <c r="AG12" s="11">
        <v>10675.85581951247</v>
      </c>
    </row>
    <row r="13" spans="1:33" x14ac:dyDescent="0.25">
      <c r="A13" s="3">
        <v>10</v>
      </c>
      <c r="B13" s="5" t="s">
        <v>12</v>
      </c>
      <c r="C13" s="11">
        <v>100</v>
      </c>
      <c r="D13" s="11">
        <v>135.40575495309071</v>
      </c>
      <c r="E13" s="11">
        <v>163.29651431048225</v>
      </c>
      <c r="F13" s="11">
        <v>181.11505711609183</v>
      </c>
      <c r="G13" s="11">
        <v>225.62093650815851</v>
      </c>
      <c r="H13" s="11">
        <v>302.69759930649747</v>
      </c>
      <c r="I13" s="11">
        <v>493.20863802239916</v>
      </c>
      <c r="J13" s="11">
        <v>787.83713874246746</v>
      </c>
      <c r="K13" s="11">
        <v>1106.8434445827104</v>
      </c>
      <c r="L13" s="11">
        <v>1458.7170201758931</v>
      </c>
      <c r="M13" s="11">
        <v>1809.4608576502014</v>
      </c>
      <c r="N13" s="11">
        <v>1645.749500146811</v>
      </c>
      <c r="O13" s="11">
        <v>1517.0152822248021</v>
      </c>
      <c r="P13" s="11">
        <v>1670.6638609639135</v>
      </c>
      <c r="Q13" s="11">
        <v>1677.6163644244359</v>
      </c>
      <c r="R13" s="11">
        <v>1678.3609009941147</v>
      </c>
      <c r="S13" s="11">
        <v>2008.3569860600396</v>
      </c>
      <c r="T13" s="11">
        <v>2401.6030256847653</v>
      </c>
      <c r="U13" s="11">
        <v>2741.2396359111326</v>
      </c>
      <c r="V13" s="11">
        <v>3221.8334475189122</v>
      </c>
      <c r="W13" s="11">
        <v>3915.4786706002456</v>
      </c>
      <c r="X13" s="11">
        <v>5042.6049691698972</v>
      </c>
      <c r="Y13" s="11">
        <v>5975.7987164609031</v>
      </c>
      <c r="Z13" s="11">
        <v>7392.2344486234861</v>
      </c>
      <c r="AA13" s="11">
        <v>9176.9410382964506</v>
      </c>
      <c r="AB13" s="11">
        <v>10562.855664769795</v>
      </c>
      <c r="AC13" s="11">
        <v>10913.15837306526</v>
      </c>
      <c r="AD13" s="11">
        <v>11314.096559052594</v>
      </c>
      <c r="AE13" s="11">
        <v>11841.074649403681</v>
      </c>
      <c r="AF13" s="11">
        <v>12373.554620321316</v>
      </c>
      <c r="AG13" s="11">
        <v>13705.548020861017</v>
      </c>
    </row>
    <row r="14" spans="1:33" x14ac:dyDescent="0.25">
      <c r="A14" s="3">
        <v>11</v>
      </c>
      <c r="B14" s="5" t="s">
        <v>13</v>
      </c>
      <c r="C14" s="11">
        <v>100</v>
      </c>
      <c r="D14" s="11">
        <v>113.18686246465677</v>
      </c>
      <c r="E14" s="11">
        <v>112.35302169921314</v>
      </c>
      <c r="F14" s="11">
        <v>117.26708866137051</v>
      </c>
      <c r="G14" s="11">
        <v>127.30562990026012</v>
      </c>
      <c r="H14" s="11">
        <v>147.48895843462307</v>
      </c>
      <c r="I14" s="11">
        <v>268.62755741850009</v>
      </c>
      <c r="J14" s="11">
        <v>471.05945530899862</v>
      </c>
      <c r="K14" s="11">
        <v>650.42962585339069</v>
      </c>
      <c r="L14" s="11">
        <v>885.42222285159539</v>
      </c>
      <c r="M14" s="11">
        <v>1131.0598801358817</v>
      </c>
      <c r="N14" s="11">
        <v>1170.987313410526</v>
      </c>
      <c r="O14" s="11">
        <v>1235.2927293239115</v>
      </c>
      <c r="P14" s="11">
        <v>1468.7189738699997</v>
      </c>
      <c r="Q14" s="11">
        <v>1643.7755781185833</v>
      </c>
      <c r="R14" s="11">
        <v>1837.892355161568</v>
      </c>
      <c r="S14" s="11">
        <v>2061.2781310134637</v>
      </c>
      <c r="T14" s="11">
        <v>2320.1015493593763</v>
      </c>
      <c r="U14" s="11">
        <v>2708.0943682116203</v>
      </c>
      <c r="V14" s="11">
        <v>3126.3859977059351</v>
      </c>
      <c r="W14" s="11">
        <v>3734.7337672861272</v>
      </c>
      <c r="X14" s="11">
        <v>4468.8798573840422</v>
      </c>
      <c r="Y14" s="11">
        <v>4918.2798287475634</v>
      </c>
      <c r="Z14" s="11">
        <v>5823.2043590385074</v>
      </c>
      <c r="AA14" s="11">
        <v>6817.059316846904</v>
      </c>
      <c r="AB14" s="11">
        <v>7399.3828996165539</v>
      </c>
      <c r="AC14" s="11">
        <v>8086.0526187430469</v>
      </c>
      <c r="AD14" s="11">
        <v>8866.0898461654651</v>
      </c>
      <c r="AE14" s="11">
        <v>9266.9336782298269</v>
      </c>
      <c r="AF14" s="11">
        <v>9951.872621166136</v>
      </c>
      <c r="AG14" s="11">
        <v>11328.390393877462</v>
      </c>
    </row>
    <row r="15" spans="1:33" x14ac:dyDescent="0.25">
      <c r="A15" s="3">
        <v>12</v>
      </c>
      <c r="B15" s="5" t="s">
        <v>14</v>
      </c>
      <c r="C15" s="11">
        <v>100</v>
      </c>
      <c r="D15" s="11">
        <v>121.76025838034583</v>
      </c>
      <c r="E15" s="11">
        <v>132.01007818626462</v>
      </c>
      <c r="F15" s="11">
        <v>144.49863771160912</v>
      </c>
      <c r="G15" s="11">
        <v>169.90233058057368</v>
      </c>
      <c r="H15" s="11">
        <v>215.40300062777283</v>
      </c>
      <c r="I15" s="11">
        <v>369.0771103844632</v>
      </c>
      <c r="J15" s="11">
        <v>616.38503194878012</v>
      </c>
      <c r="K15" s="11">
        <v>862.42366851898373</v>
      </c>
      <c r="L15" s="11">
        <v>1156.8460011709965</v>
      </c>
      <c r="M15" s="11">
        <v>1458.5051606316611</v>
      </c>
      <c r="N15" s="11">
        <v>1448.096178194507</v>
      </c>
      <c r="O15" s="11">
        <v>1468.0290255146354</v>
      </c>
      <c r="P15" s="11">
        <v>1706.8139255676895</v>
      </c>
      <c r="Q15" s="11">
        <v>1856.7903576614706</v>
      </c>
      <c r="R15" s="11">
        <v>2021.1593296146054</v>
      </c>
      <c r="S15" s="11">
        <v>2034.2027917928719</v>
      </c>
      <c r="T15" s="11">
        <v>2029.1909127226525</v>
      </c>
      <c r="U15" s="11">
        <v>2194.4505507280674</v>
      </c>
      <c r="V15" s="11">
        <v>2267.1525213432215</v>
      </c>
      <c r="W15" s="11">
        <v>2397.6156782589746</v>
      </c>
      <c r="X15" s="11">
        <v>3030.6979904925142</v>
      </c>
      <c r="Y15" s="11">
        <v>3528.3190058782357</v>
      </c>
      <c r="Z15" s="11">
        <v>4032.2388876793725</v>
      </c>
      <c r="AA15" s="11">
        <v>4773.3200733035837</v>
      </c>
      <c r="AB15" s="11">
        <v>5241.9409386156412</v>
      </c>
      <c r="AC15" s="11">
        <v>5432.6639554767344</v>
      </c>
      <c r="AD15" s="11">
        <v>5650.7384258329575</v>
      </c>
      <c r="AE15" s="11">
        <v>5778.4622099720746</v>
      </c>
      <c r="AF15" s="11">
        <v>5975.1802469240156</v>
      </c>
      <c r="AG15" s="11">
        <v>6546.5540127795084</v>
      </c>
    </row>
    <row r="16" spans="1:33" x14ac:dyDescent="0.25">
      <c r="A16" s="3">
        <v>13</v>
      </c>
      <c r="B16" s="5" t="s">
        <v>15</v>
      </c>
      <c r="C16" s="11">
        <v>100</v>
      </c>
      <c r="D16" s="11">
        <v>157.69168686858018</v>
      </c>
      <c r="E16" s="11">
        <v>214.3934674026348</v>
      </c>
      <c r="F16" s="11">
        <v>219.18626139139013</v>
      </c>
      <c r="G16" s="11">
        <v>277.59345050694617</v>
      </c>
      <c r="H16" s="11">
        <v>378.0672840632925</v>
      </c>
      <c r="I16" s="11">
        <v>600.5972324258438</v>
      </c>
      <c r="J16" s="11">
        <v>936.52621622559377</v>
      </c>
      <c r="K16" s="11">
        <v>1310.8136933523012</v>
      </c>
      <c r="L16" s="11">
        <v>1705.573012757754</v>
      </c>
      <c r="M16" s="11">
        <v>2090.194315505868</v>
      </c>
      <c r="N16" s="11">
        <v>2420.8625550807001</v>
      </c>
      <c r="O16" s="11">
        <v>2801.1196410872981</v>
      </c>
      <c r="P16" s="11">
        <v>3401.2756244993525</v>
      </c>
      <c r="Q16" s="11">
        <v>3984.8632731474718</v>
      </c>
      <c r="R16" s="11">
        <v>4638.4503636344443</v>
      </c>
      <c r="S16" s="11">
        <v>5977.0882392429539</v>
      </c>
      <c r="T16" s="11">
        <v>7595.1204647521254</v>
      </c>
      <c r="U16" s="11">
        <v>9445.2240262727973</v>
      </c>
      <c r="V16" s="11">
        <v>11791.081791727447</v>
      </c>
      <c r="W16" s="11">
        <v>15120.419495814544</v>
      </c>
      <c r="X16" s="11">
        <v>16807.770809982336</v>
      </c>
      <c r="Y16" s="11">
        <v>16966.273489910109</v>
      </c>
      <c r="Z16" s="11">
        <v>20028.315364064383</v>
      </c>
      <c r="AA16" s="11">
        <v>22253.839620691786</v>
      </c>
      <c r="AB16" s="11">
        <v>22782.026004275212</v>
      </c>
      <c r="AC16" s="11">
        <v>21966.386630682875</v>
      </c>
      <c r="AD16" s="11">
        <v>21053.853499293251</v>
      </c>
      <c r="AE16" s="11">
        <v>19537.058128711964</v>
      </c>
      <c r="AF16" s="11">
        <v>18079.518352187613</v>
      </c>
      <c r="AG16" s="11">
        <v>17367.304730340282</v>
      </c>
    </row>
    <row r="17" spans="1:33" x14ac:dyDescent="0.25">
      <c r="A17" s="3">
        <v>14</v>
      </c>
      <c r="B17" s="5" t="s">
        <v>16</v>
      </c>
      <c r="C17" s="11">
        <v>100</v>
      </c>
      <c r="D17" s="11">
        <v>130.63148092511216</v>
      </c>
      <c r="E17" s="11">
        <v>152.35008503766329</v>
      </c>
      <c r="F17" s="11">
        <v>164.89682558509935</v>
      </c>
      <c r="G17" s="11">
        <v>200.0075144141685</v>
      </c>
      <c r="H17" s="11">
        <v>261.61953999992602</v>
      </c>
      <c r="I17" s="11">
        <v>419.23163469635398</v>
      </c>
      <c r="J17" s="11">
        <v>659.22584256397317</v>
      </c>
      <c r="K17" s="11">
        <v>909.24946223259576</v>
      </c>
      <c r="L17" s="11">
        <v>1179.5811975645074</v>
      </c>
      <c r="M17" s="11">
        <v>1441.481293976635</v>
      </c>
      <c r="N17" s="11">
        <v>1407.8556618162588</v>
      </c>
      <c r="O17" s="11">
        <v>1403.8063798747537</v>
      </c>
      <c r="P17" s="11">
        <v>1595.6378551503431</v>
      </c>
      <c r="Q17" s="11">
        <v>1702.719628294293</v>
      </c>
      <c r="R17" s="11">
        <v>1818.4498339492741</v>
      </c>
      <c r="S17" s="11">
        <v>2023.3410319512077</v>
      </c>
      <c r="T17" s="11">
        <v>2259.3416303618546</v>
      </c>
      <c r="U17" s="11">
        <v>2568.9903438406704</v>
      </c>
      <c r="V17" s="11">
        <v>2916.0836025198532</v>
      </c>
      <c r="W17" s="11">
        <v>3425.4991771853629</v>
      </c>
      <c r="X17" s="11">
        <v>4237.0860747346896</v>
      </c>
      <c r="Y17" s="11">
        <v>4827.948026033333</v>
      </c>
      <c r="Z17" s="11">
        <v>5767.8298330744228</v>
      </c>
      <c r="AA17" s="11">
        <v>6909.303626349325</v>
      </c>
      <c r="AB17" s="11">
        <v>7680.2811487893814</v>
      </c>
      <c r="AC17" s="11">
        <v>8331.9920286875149</v>
      </c>
      <c r="AD17" s="11">
        <v>9072.6061071618606</v>
      </c>
      <c r="AE17" s="11">
        <v>9558.8435535993776</v>
      </c>
      <c r="AF17" s="11">
        <v>10270.531251255552</v>
      </c>
      <c r="AG17" s="11">
        <v>11696.852077522983</v>
      </c>
    </row>
    <row r="18" spans="1:33" x14ac:dyDescent="0.25">
      <c r="A18" s="3">
        <v>15</v>
      </c>
      <c r="B18" s="5" t="s">
        <v>17</v>
      </c>
      <c r="C18" s="11">
        <v>100</v>
      </c>
      <c r="D18" s="11">
        <v>130.4654731302837</v>
      </c>
      <c r="E18" s="11">
        <v>151.96942591798742</v>
      </c>
      <c r="F18" s="11">
        <v>160.12339302025092</v>
      </c>
      <c r="G18" s="11">
        <v>191.55689393744311</v>
      </c>
      <c r="H18" s="11">
        <v>247.17382116949193</v>
      </c>
      <c r="I18" s="11">
        <v>388.23479513517032</v>
      </c>
      <c r="J18" s="11">
        <v>598.65791534566245</v>
      </c>
      <c r="K18" s="11">
        <v>812.56651726002656</v>
      </c>
      <c r="L18" s="11">
        <v>1036.0793556781844</v>
      </c>
      <c r="M18" s="11">
        <v>1244.8132063553612</v>
      </c>
      <c r="N18" s="11">
        <v>1316.2881513314053</v>
      </c>
      <c r="O18" s="11">
        <v>1415.0795177583852</v>
      </c>
      <c r="P18" s="11">
        <v>1653.3474105794444</v>
      </c>
      <c r="Q18" s="11">
        <v>1851.5742228860272</v>
      </c>
      <c r="R18" s="11">
        <v>2071.4258664852987</v>
      </c>
      <c r="S18" s="11">
        <v>2135.0246225576257</v>
      </c>
      <c r="T18" s="11">
        <v>2192.4337326767318</v>
      </c>
      <c r="U18" s="11">
        <v>2449.6389549916921</v>
      </c>
      <c r="V18" s="11">
        <v>2630.1099570260258</v>
      </c>
      <c r="W18" s="11">
        <v>2910.9573789662322</v>
      </c>
      <c r="X18" s="11">
        <v>3804.1434970242385</v>
      </c>
      <c r="Y18" s="11">
        <v>4569.3135221845387</v>
      </c>
      <c r="Z18" s="11">
        <v>5448.3002028274668</v>
      </c>
      <c r="AA18" s="11">
        <v>6691.0009134052452</v>
      </c>
      <c r="AB18" s="11">
        <v>7622.6045833857197</v>
      </c>
      <c r="AC18" s="11">
        <v>7970.4105173387943</v>
      </c>
      <c r="AD18" s="11">
        <v>8367.2282922351478</v>
      </c>
      <c r="AE18" s="11">
        <v>8764.3369026322162</v>
      </c>
      <c r="AF18" s="11">
        <v>9221.6484616771249</v>
      </c>
      <c r="AG18" s="11">
        <v>10286.245752968571</v>
      </c>
    </row>
    <row r="19" spans="1:33" x14ac:dyDescent="0.25">
      <c r="A19" s="3">
        <v>16</v>
      </c>
      <c r="B19" s="5" t="s">
        <v>18</v>
      </c>
      <c r="C19" s="11">
        <v>100</v>
      </c>
      <c r="D19" s="11">
        <v>123.40688869832694</v>
      </c>
      <c r="E19" s="11">
        <v>135.78559351749948</v>
      </c>
      <c r="F19" s="11">
        <v>147.53703517256463</v>
      </c>
      <c r="G19" s="11">
        <v>174.14724497200012</v>
      </c>
      <c r="H19" s="11">
        <v>221.6689175349</v>
      </c>
      <c r="I19" s="11">
        <v>347.86190663005101</v>
      </c>
      <c r="J19" s="11">
        <v>535.92212111638423</v>
      </c>
      <c r="K19" s="11">
        <v>722.10271597051747</v>
      </c>
      <c r="L19" s="11">
        <v>916.93949041268979</v>
      </c>
      <c r="M19" s="11">
        <v>1097.1229390668557</v>
      </c>
      <c r="N19" s="11">
        <v>974.57184320069962</v>
      </c>
      <c r="O19" s="11">
        <v>872.81581880105648</v>
      </c>
      <c r="P19" s="11">
        <v>924.3977336244991</v>
      </c>
      <c r="Q19" s="11">
        <v>889.0706749480097</v>
      </c>
      <c r="R19" s="11">
        <v>844.62273943972446</v>
      </c>
      <c r="S19" s="11">
        <v>991.29538913403428</v>
      </c>
      <c r="T19" s="11">
        <v>1165.0430326659414</v>
      </c>
      <c r="U19" s="11">
        <v>1282.8282477598357</v>
      </c>
      <c r="V19" s="11">
        <v>1470.098459572901</v>
      </c>
      <c r="W19" s="11">
        <v>1743.4661172002193</v>
      </c>
      <c r="X19" s="11">
        <v>2181.0999975697546</v>
      </c>
      <c r="Y19" s="11">
        <v>2513.5798525883811</v>
      </c>
      <c r="Z19" s="11">
        <v>3034.4625864038276</v>
      </c>
      <c r="AA19" s="11">
        <v>3674.84993247395</v>
      </c>
      <c r="AB19" s="11">
        <v>4129.7402764228182</v>
      </c>
      <c r="AC19" s="11">
        <v>4472.5295708537415</v>
      </c>
      <c r="AD19" s="11">
        <v>4862.1192763429663</v>
      </c>
      <c r="AE19" s="11">
        <v>5145.2313418067788</v>
      </c>
      <c r="AF19" s="11">
        <v>5535.5813662828004</v>
      </c>
      <c r="AG19" s="11">
        <v>6312.3826105673888</v>
      </c>
    </row>
    <row r="20" spans="1:33" x14ac:dyDescent="0.25">
      <c r="A20" s="3">
        <v>17</v>
      </c>
      <c r="B20" s="5" t="s">
        <v>19</v>
      </c>
      <c r="C20" s="11">
        <v>100</v>
      </c>
      <c r="D20" s="11">
        <v>144.61992876700668</v>
      </c>
      <c r="E20" s="11">
        <v>184.42273792680342</v>
      </c>
      <c r="F20" s="11">
        <v>187.98385089374366</v>
      </c>
      <c r="G20" s="11">
        <v>231.17577004827521</v>
      </c>
      <c r="H20" s="11">
        <v>306.42438689009407</v>
      </c>
      <c r="I20" s="11">
        <v>462.35079982122346</v>
      </c>
      <c r="J20" s="11">
        <v>683.81138154808218</v>
      </c>
      <c r="K20" s="11">
        <v>921.70663073863739</v>
      </c>
      <c r="L20" s="11">
        <v>1146.0041325870125</v>
      </c>
      <c r="M20" s="11">
        <v>1341.8197263017046</v>
      </c>
      <c r="N20" s="11">
        <v>1573.9526723476631</v>
      </c>
      <c r="O20" s="11">
        <v>1838.2714941254528</v>
      </c>
      <c r="P20" s="11">
        <v>2205.5929651635688</v>
      </c>
      <c r="Q20" s="11">
        <v>2581.5029254755577</v>
      </c>
      <c r="R20" s="11">
        <v>3002.4401325462977</v>
      </c>
      <c r="S20" s="11">
        <v>3218.2340917145607</v>
      </c>
      <c r="T20" s="11">
        <v>3455.3609351157925</v>
      </c>
      <c r="U20" s="11">
        <v>4025.6968072850486</v>
      </c>
      <c r="V20" s="11">
        <v>4534.7841495948369</v>
      </c>
      <c r="W20" s="11">
        <v>5285.6472643587949</v>
      </c>
      <c r="X20" s="11">
        <v>6524.0538587314086</v>
      </c>
      <c r="Y20" s="11">
        <v>7417.8086184704243</v>
      </c>
      <c r="Z20" s="11">
        <v>8816.4940745586791</v>
      </c>
      <c r="AA20" s="11">
        <v>10521.979237127767</v>
      </c>
      <c r="AB20" s="11">
        <v>11651.848513758478</v>
      </c>
      <c r="AC20" s="11">
        <v>11979.081669950092</v>
      </c>
      <c r="AD20" s="11">
        <v>12354.417916883735</v>
      </c>
      <c r="AE20" s="11">
        <v>12633.403628644583</v>
      </c>
      <c r="AF20" s="11">
        <v>13003.504278328715</v>
      </c>
      <c r="AG20" s="11">
        <v>14177.973292716892</v>
      </c>
    </row>
    <row r="21" spans="1:33" x14ac:dyDescent="0.25">
      <c r="A21" s="3">
        <v>18</v>
      </c>
      <c r="B21" s="5" t="s">
        <v>20</v>
      </c>
      <c r="C21" s="11">
        <v>100</v>
      </c>
      <c r="D21" s="11">
        <v>124.50750835065274</v>
      </c>
      <c r="E21" s="11">
        <v>138.30901534463433</v>
      </c>
      <c r="F21" s="11">
        <v>150.03885601573919</v>
      </c>
      <c r="G21" s="11">
        <v>177.83037076877824</v>
      </c>
      <c r="H21" s="11">
        <v>227.31346126635185</v>
      </c>
      <c r="I21" s="11">
        <v>355.77899985688344</v>
      </c>
      <c r="J21" s="11">
        <v>546.67165178856078</v>
      </c>
      <c r="K21" s="11">
        <v>737.16612824246306</v>
      </c>
      <c r="L21" s="11">
        <v>935.18848963154687</v>
      </c>
      <c r="M21" s="11">
        <v>1117.899617269763</v>
      </c>
      <c r="N21" s="11">
        <v>1070.3669388443357</v>
      </c>
      <c r="O21" s="11">
        <v>1045.3909923273793</v>
      </c>
      <c r="P21" s="11">
        <v>1162.3120736237997</v>
      </c>
      <c r="Q21" s="11">
        <v>1212.8491854204215</v>
      </c>
      <c r="R21" s="11">
        <v>1265.6990348040183</v>
      </c>
      <c r="S21" s="11">
        <v>1406.5618589997271</v>
      </c>
      <c r="T21" s="11">
        <v>1568.6484280570594</v>
      </c>
      <c r="U21" s="11">
        <v>1761.1793281542855</v>
      </c>
      <c r="V21" s="11">
        <v>1984.8964571694153</v>
      </c>
      <c r="W21" s="11">
        <v>2314.7476950052755</v>
      </c>
      <c r="X21" s="11">
        <v>2950.9640927499872</v>
      </c>
      <c r="Y21" s="11">
        <v>3463.7197767707212</v>
      </c>
      <c r="Z21" s="11">
        <v>4185.2858067952166</v>
      </c>
      <c r="AA21" s="11">
        <v>5116.1014511441517</v>
      </c>
      <c r="AB21" s="11">
        <v>5802.3094177710955</v>
      </c>
      <c r="AC21" s="11">
        <v>6658.7510650232489</v>
      </c>
      <c r="AD21" s="11">
        <v>7630.119070054795</v>
      </c>
      <c r="AE21" s="11">
        <v>8304.019426590874</v>
      </c>
      <c r="AF21" s="11">
        <v>9264.1000576311926</v>
      </c>
      <c r="AG21" s="11">
        <v>10928.95735716745</v>
      </c>
    </row>
    <row r="22" spans="1:33" x14ac:dyDescent="0.25">
      <c r="A22" s="3">
        <v>19</v>
      </c>
      <c r="B22" s="5" t="s">
        <v>21</v>
      </c>
      <c r="C22" s="11">
        <v>100</v>
      </c>
      <c r="D22" s="11">
        <v>124.91415272848488</v>
      </c>
      <c r="E22" s="11">
        <v>139.24133316339538</v>
      </c>
      <c r="F22" s="11">
        <v>150.78751544147926</v>
      </c>
      <c r="G22" s="11">
        <v>178.87568873899488</v>
      </c>
      <c r="H22" s="11">
        <v>228.85571285711487</v>
      </c>
      <c r="I22" s="11">
        <v>332.13237024255375</v>
      </c>
      <c r="J22" s="11">
        <v>470.1279681954548</v>
      </c>
      <c r="K22" s="11">
        <v>606.39277240730212</v>
      </c>
      <c r="L22" s="11">
        <v>716.76282868291537</v>
      </c>
      <c r="M22" s="11">
        <v>793.48675954430485</v>
      </c>
      <c r="N22" s="11">
        <v>806.86263456146207</v>
      </c>
      <c r="O22" s="11">
        <v>837.0819770975902</v>
      </c>
      <c r="P22" s="11">
        <v>923.74605384419317</v>
      </c>
      <c r="Q22" s="11">
        <v>990.74369105276605</v>
      </c>
      <c r="R22" s="11">
        <v>1063.4736710523739</v>
      </c>
      <c r="S22" s="11">
        <v>1164.3543255750117</v>
      </c>
      <c r="T22" s="11">
        <v>1278.7830398635272</v>
      </c>
      <c r="U22" s="11">
        <v>1445.5436626208364</v>
      </c>
      <c r="V22" s="11">
        <v>1621.9411164924811</v>
      </c>
      <c r="W22" s="11">
        <v>1882.8402272593587</v>
      </c>
      <c r="X22" s="11">
        <v>2377.4675728935867</v>
      </c>
      <c r="Y22" s="11">
        <v>2764.9763965960124</v>
      </c>
      <c r="Z22" s="11">
        <v>3318.0944724406372</v>
      </c>
      <c r="AA22" s="11">
        <v>4024.5623688699793</v>
      </c>
      <c r="AB22" s="11">
        <v>4529.6647973489689</v>
      </c>
      <c r="AC22" s="11">
        <v>4657.4877693680282</v>
      </c>
      <c r="AD22" s="11">
        <v>4804.0892958685481</v>
      </c>
      <c r="AE22" s="11">
        <v>4956.4721857291343</v>
      </c>
      <c r="AF22" s="11">
        <v>5126.6109384497759</v>
      </c>
      <c r="AG22" s="11">
        <v>5618.4533030059447</v>
      </c>
    </row>
    <row r="23" spans="1:33" x14ac:dyDescent="0.25">
      <c r="A23" s="3">
        <v>20</v>
      </c>
      <c r="B23" s="5" t="s">
        <v>22</v>
      </c>
      <c r="C23" s="11">
        <v>100</v>
      </c>
      <c r="D23" s="11">
        <v>127.60662396500547</v>
      </c>
      <c r="E23" s="11">
        <v>145.41468129979691</v>
      </c>
      <c r="F23" s="11">
        <v>159.51538333854089</v>
      </c>
      <c r="G23" s="11">
        <v>192.56893454147792</v>
      </c>
      <c r="H23" s="11">
        <v>250.72766950476489</v>
      </c>
      <c r="I23" s="11">
        <v>392.48359631307608</v>
      </c>
      <c r="J23" s="11">
        <v>603.15893024527418</v>
      </c>
      <c r="K23" s="11">
        <v>820.97133260428063</v>
      </c>
      <c r="L23" s="11">
        <v>1046.4861447430087</v>
      </c>
      <c r="M23" s="11">
        <v>1256.9444715669426</v>
      </c>
      <c r="N23" s="11">
        <v>1237.181690360881</v>
      </c>
      <c r="O23" s="11">
        <v>1243.3762790970159</v>
      </c>
      <c r="P23" s="11">
        <v>1406.5355999062645</v>
      </c>
      <c r="Q23" s="11">
        <v>1503.2707291829402</v>
      </c>
      <c r="R23" s="11">
        <v>1607.9679932822994</v>
      </c>
      <c r="S23" s="11">
        <v>1790.4338677550381</v>
      </c>
      <c r="T23" s="11">
        <v>2000.7232756600526</v>
      </c>
      <c r="U23" s="11">
        <v>2277.5896832526169</v>
      </c>
      <c r="V23" s="11">
        <v>2587.7987814403996</v>
      </c>
      <c r="W23" s="11">
        <v>3042.8180167161377</v>
      </c>
      <c r="X23" s="11">
        <v>3969.9485431963758</v>
      </c>
      <c r="Y23" s="11">
        <v>4761.3556475550704</v>
      </c>
      <c r="Z23" s="11">
        <v>5836.0021871582585</v>
      </c>
      <c r="AA23" s="11">
        <v>7254.1765935010171</v>
      </c>
      <c r="AB23" s="11">
        <v>8359.6825691298254</v>
      </c>
      <c r="AC23" s="11">
        <v>8982.9177081706002</v>
      </c>
      <c r="AD23" s="11">
        <v>9691.6204499297019</v>
      </c>
      <c r="AE23" s="11">
        <v>10340.581549757853</v>
      </c>
      <c r="AF23" s="11">
        <v>11128.446727073899</v>
      </c>
      <c r="AG23" s="11">
        <v>12693.807608186225</v>
      </c>
    </row>
    <row r="24" spans="1:33" x14ac:dyDescent="0.25">
      <c r="A24" s="3">
        <v>21</v>
      </c>
      <c r="B24" s="5" t="s">
        <v>23</v>
      </c>
      <c r="C24" s="11">
        <v>100</v>
      </c>
      <c r="D24" s="11">
        <v>132.60632925646556</v>
      </c>
      <c r="E24" s="11">
        <v>156.87793576816412</v>
      </c>
      <c r="F24" s="11">
        <v>174.88125988046116</v>
      </c>
      <c r="G24" s="11">
        <v>216.48560671596388</v>
      </c>
      <c r="H24" s="11">
        <v>288.74149003682891</v>
      </c>
      <c r="I24" s="11">
        <v>495.91774917093608</v>
      </c>
      <c r="J24" s="11">
        <v>829.88191894159161</v>
      </c>
      <c r="K24" s="11">
        <v>1186.052084160797</v>
      </c>
      <c r="L24" s="11">
        <v>1606.4702344424475</v>
      </c>
      <c r="M24" s="11">
        <v>2043.0585150261572</v>
      </c>
      <c r="N24" s="11">
        <v>2242.144296851608</v>
      </c>
      <c r="O24" s="11">
        <v>2487.508391026643</v>
      </c>
      <c r="P24" s="11">
        <v>3010.9744589806469</v>
      </c>
      <c r="Q24" s="11">
        <v>3466.9081478287217</v>
      </c>
      <c r="R24" s="11">
        <v>3976.002318498493</v>
      </c>
      <c r="S24" s="11">
        <v>4620.8565350493946</v>
      </c>
      <c r="T24" s="11">
        <v>5381.9848477045025</v>
      </c>
      <c r="U24" s="11">
        <v>6445.2992355763818</v>
      </c>
      <c r="V24" s="11">
        <v>7649.3820974554992</v>
      </c>
      <c r="W24" s="11">
        <v>9381.1765157751288</v>
      </c>
      <c r="X24" s="11">
        <v>12171.03029149706</v>
      </c>
      <c r="Y24" s="11">
        <v>14522.381454107082</v>
      </c>
      <c r="Z24" s="11">
        <v>18089.538910358078</v>
      </c>
      <c r="AA24" s="11">
        <v>22596.897262408456</v>
      </c>
      <c r="AB24" s="11">
        <v>26161.444661997655</v>
      </c>
      <c r="AC24" s="11">
        <v>28287.545315908501</v>
      </c>
      <c r="AD24" s="11">
        <v>30704.160988993233</v>
      </c>
      <c r="AE24" s="11">
        <v>32919.234895497328</v>
      </c>
      <c r="AF24" s="11">
        <v>35610.011269508846</v>
      </c>
      <c r="AG24" s="11">
        <v>40820.797350486944</v>
      </c>
    </row>
    <row r="25" spans="1:33" x14ac:dyDescent="0.25">
      <c r="A25" s="3">
        <v>22</v>
      </c>
      <c r="B25" s="5" t="s">
        <v>24</v>
      </c>
      <c r="C25" s="11">
        <v>100</v>
      </c>
      <c r="D25" s="11">
        <v>132.71548844073885</v>
      </c>
      <c r="E25" s="11">
        <v>157.12815126610013</v>
      </c>
      <c r="F25" s="11">
        <v>166.20680554841252</v>
      </c>
      <c r="G25" s="11">
        <v>200.826500130418</v>
      </c>
      <c r="H25" s="11">
        <v>261.70929824428396</v>
      </c>
      <c r="I25" s="11">
        <v>401.51561564188933</v>
      </c>
      <c r="J25" s="11">
        <v>604.45349505036313</v>
      </c>
      <c r="K25" s="11">
        <v>814.69120015146098</v>
      </c>
      <c r="L25" s="11">
        <v>1022.466227049546</v>
      </c>
      <c r="M25" s="11">
        <v>1208.8811728568971</v>
      </c>
      <c r="N25" s="11">
        <v>1325.4962289407613</v>
      </c>
      <c r="O25" s="11">
        <v>1469.4734655080597</v>
      </c>
      <c r="P25" s="11">
        <v>1729.4684782722281</v>
      </c>
      <c r="Q25" s="11">
        <v>1968.2994980595063</v>
      </c>
      <c r="R25" s="11">
        <v>2234.3216078651622</v>
      </c>
      <c r="S25" s="11">
        <v>2383.6538735393538</v>
      </c>
      <c r="T25" s="11">
        <v>2546.1006843823498</v>
      </c>
      <c r="U25" s="11">
        <v>2923.3705272393431</v>
      </c>
      <c r="V25" s="11">
        <v>3258.9291294118029</v>
      </c>
      <c r="W25" s="11">
        <v>3757.7234026553651</v>
      </c>
      <c r="X25" s="11">
        <v>4589.064266291346</v>
      </c>
      <c r="Y25" s="11">
        <v>5161.022764457196</v>
      </c>
      <c r="Z25" s="11">
        <v>6063.5034532612608</v>
      </c>
      <c r="AA25" s="11">
        <v>7151.6644233667366</v>
      </c>
      <c r="AB25" s="11">
        <v>7823.9065219070599</v>
      </c>
      <c r="AC25" s="11">
        <v>8471.6048224152692</v>
      </c>
      <c r="AD25" s="11">
        <v>9207.7435749383403</v>
      </c>
      <c r="AE25" s="11">
        <v>9617.7060395343942</v>
      </c>
      <c r="AF25" s="11">
        <v>10281.686620049464</v>
      </c>
      <c r="AG25" s="11">
        <v>11651.906101454799</v>
      </c>
    </row>
    <row r="26" spans="1:33" x14ac:dyDescent="0.25">
      <c r="A26" s="3">
        <v>23</v>
      </c>
      <c r="B26" s="5" t="s">
        <v>25</v>
      </c>
      <c r="C26" s="11">
        <v>100</v>
      </c>
      <c r="D26" s="11">
        <v>136.39368955501226</v>
      </c>
      <c r="E26" s="11">
        <v>165.56159916983353</v>
      </c>
      <c r="F26" s="11">
        <v>180.71589121226157</v>
      </c>
      <c r="G26" s="11">
        <v>224.17698956057623</v>
      </c>
      <c r="H26" s="11">
        <v>299.58538601333066</v>
      </c>
      <c r="I26" s="11">
        <v>492.20043050137792</v>
      </c>
      <c r="J26" s="11">
        <v>792.24789156888994</v>
      </c>
      <c r="K26" s="11">
        <v>1114.8309802788538</v>
      </c>
      <c r="L26" s="11">
        <v>1475.3215856018674</v>
      </c>
      <c r="M26" s="11">
        <v>1837.1099963867916</v>
      </c>
      <c r="N26" s="11">
        <v>1979.0041756354453</v>
      </c>
      <c r="O26" s="11">
        <v>2161.8553121202026</v>
      </c>
      <c r="P26" s="11">
        <v>2580.502819174003</v>
      </c>
      <c r="Q26" s="11">
        <v>2936.0867679482267</v>
      </c>
      <c r="R26" s="11">
        <v>3332.1275898291192</v>
      </c>
      <c r="S26" s="11">
        <v>3866.1731966972989</v>
      </c>
      <c r="T26" s="11">
        <v>4496.1049077291145</v>
      </c>
      <c r="U26" s="11">
        <v>5357.5400419239422</v>
      </c>
      <c r="V26" s="11">
        <v>6339.9975465041362</v>
      </c>
      <c r="W26" s="11">
        <v>7754.4479667826135</v>
      </c>
      <c r="X26" s="11">
        <v>9805.4800103770795</v>
      </c>
      <c r="Y26" s="11">
        <v>11419.411040329167</v>
      </c>
      <c r="Z26" s="11">
        <v>14057.354823096912</v>
      </c>
      <c r="AA26" s="11">
        <v>17271.772932309654</v>
      </c>
      <c r="AB26" s="11">
        <v>19685.412894528497</v>
      </c>
      <c r="AC26" s="11">
        <v>19451.382236555874</v>
      </c>
      <c r="AD26" s="11">
        <v>19195.397483088636</v>
      </c>
      <c r="AE26" s="11">
        <v>19485.955747247015</v>
      </c>
      <c r="AF26" s="11">
        <v>19481.869939245807</v>
      </c>
      <c r="AG26" s="11">
        <v>20577.24188184473</v>
      </c>
    </row>
    <row r="27" spans="1:33" x14ac:dyDescent="0.25">
      <c r="A27" s="3">
        <v>24</v>
      </c>
      <c r="B27" s="5" t="s">
        <v>26</v>
      </c>
      <c r="C27" s="11">
        <v>100</v>
      </c>
      <c r="D27" s="11">
        <v>148.29194123448752</v>
      </c>
      <c r="E27" s="11">
        <v>192.84188649481052</v>
      </c>
      <c r="F27" s="11">
        <v>223.13703559956988</v>
      </c>
      <c r="G27" s="11">
        <v>291.60653648778549</v>
      </c>
      <c r="H27" s="11">
        <v>408.1518299188852</v>
      </c>
      <c r="I27" s="11">
        <v>567.40826061372434</v>
      </c>
      <c r="J27" s="11">
        <v>761.6716537503288</v>
      </c>
      <c r="K27" s="11">
        <v>1009.2399461923583</v>
      </c>
      <c r="L27" s="11">
        <v>1173.4642634070478</v>
      </c>
      <c r="M27" s="11">
        <v>1273.8884089603359</v>
      </c>
      <c r="N27" s="11">
        <v>1252.6112982136922</v>
      </c>
      <c r="O27" s="11">
        <v>1257.6198047734115</v>
      </c>
      <c r="P27" s="11">
        <v>1345.4228031444368</v>
      </c>
      <c r="Q27" s="11">
        <v>1395.5796493600262</v>
      </c>
      <c r="R27" s="11">
        <v>1447.2035467415637</v>
      </c>
      <c r="S27" s="11">
        <v>1590.9625975680844</v>
      </c>
      <c r="T27" s="11">
        <v>1754.7473280499464</v>
      </c>
      <c r="U27" s="11">
        <v>1951.4774148405045</v>
      </c>
      <c r="V27" s="11">
        <v>2175.6457821235667</v>
      </c>
      <c r="W27" s="11">
        <v>2508.8413968285777</v>
      </c>
      <c r="X27" s="11">
        <v>3037.9755639856062</v>
      </c>
      <c r="Y27" s="11">
        <v>3386.3508319457151</v>
      </c>
      <c r="Z27" s="11">
        <v>3959.2631079616681</v>
      </c>
      <c r="AA27" s="11">
        <v>4635.3808893841206</v>
      </c>
      <c r="AB27" s="11">
        <v>5031.7879633918856</v>
      </c>
      <c r="AC27" s="11">
        <v>5843.821511093307</v>
      </c>
      <c r="AD27" s="11">
        <v>6764.6110422517986</v>
      </c>
      <c r="AE27" s="11">
        <v>7263.0411889986499</v>
      </c>
      <c r="AF27" s="11">
        <v>8091.0807017251045</v>
      </c>
      <c r="AG27" s="11">
        <v>9532.6831344759867</v>
      </c>
    </row>
    <row r="28" spans="1:33" x14ac:dyDescent="0.25">
      <c r="A28" s="3">
        <v>25</v>
      </c>
      <c r="B28" s="5" t="s">
        <v>27</v>
      </c>
      <c r="C28" s="11">
        <v>100</v>
      </c>
      <c r="D28" s="11">
        <v>141.4109474550082</v>
      </c>
      <c r="E28" s="11">
        <v>177.39555996611588</v>
      </c>
      <c r="F28" s="11">
        <v>193.59328806639488</v>
      </c>
      <c r="G28" s="11">
        <v>243.75604906035576</v>
      </c>
      <c r="H28" s="11">
        <v>330.35870809993946</v>
      </c>
      <c r="I28" s="11">
        <v>545.5887374750256</v>
      </c>
      <c r="J28" s="11">
        <v>867.12424133227444</v>
      </c>
      <c r="K28" s="11">
        <v>1211.5345794004618</v>
      </c>
      <c r="L28" s="11">
        <v>1573.4873339986909</v>
      </c>
      <c r="M28" s="11">
        <v>1915.8631124762053</v>
      </c>
      <c r="N28" s="11">
        <v>2141.3788744644294</v>
      </c>
      <c r="O28" s="11">
        <v>2392.9435647431055</v>
      </c>
      <c r="P28" s="11">
        <v>2871.0401648174397</v>
      </c>
      <c r="Q28" s="11">
        <v>3294.9745397054203</v>
      </c>
      <c r="R28" s="11">
        <v>3761.2709205514302</v>
      </c>
      <c r="S28" s="11">
        <v>4287.6456726932465</v>
      </c>
      <c r="T28" s="11">
        <v>5447.9219532073957</v>
      </c>
      <c r="U28" s="11">
        <v>6406.7760795862978</v>
      </c>
      <c r="V28" s="11">
        <v>7664.8598881973312</v>
      </c>
      <c r="W28" s="11">
        <v>9314.3398340883105</v>
      </c>
      <c r="X28" s="11">
        <v>8166.18714401339</v>
      </c>
      <c r="Y28" s="11">
        <v>8887.893578043966</v>
      </c>
      <c r="Z28" s="11">
        <v>10326.695482047617</v>
      </c>
      <c r="AA28" s="11">
        <v>13562.433849456931</v>
      </c>
      <c r="AB28" s="11">
        <v>15782.752654983296</v>
      </c>
      <c r="AC28" s="11">
        <v>17210.423344609197</v>
      </c>
      <c r="AD28" s="11">
        <v>17301.623836646606</v>
      </c>
      <c r="AE28" s="11">
        <v>17885.212653360784</v>
      </c>
      <c r="AF28" s="11">
        <v>18655.847377844359</v>
      </c>
      <c r="AG28" s="11">
        <v>20835.493858022306</v>
      </c>
    </row>
    <row r="29" spans="1:33" x14ac:dyDescent="0.25">
      <c r="A29" s="3">
        <v>26</v>
      </c>
      <c r="B29" s="5" t="s">
        <v>28</v>
      </c>
      <c r="C29" s="11">
        <v>100</v>
      </c>
      <c r="D29" s="11">
        <v>119.06929128648052</v>
      </c>
      <c r="E29" s="11">
        <v>114.26711872807466</v>
      </c>
      <c r="F29" s="11">
        <v>121.62955367259852</v>
      </c>
      <c r="G29" s="11">
        <v>140.83891824731163</v>
      </c>
      <c r="H29" s="11">
        <v>192.30720114098509</v>
      </c>
      <c r="I29" s="11">
        <v>315.20704484136434</v>
      </c>
      <c r="J29" s="11">
        <v>421.8648354934374</v>
      </c>
      <c r="K29" s="11">
        <v>531.442312332455</v>
      </c>
      <c r="L29" s="11">
        <v>632.9127341517725</v>
      </c>
      <c r="M29" s="11">
        <v>674.84979579055198</v>
      </c>
      <c r="N29" s="11">
        <v>699.36968073953278</v>
      </c>
      <c r="O29" s="11">
        <v>695.9535109252738</v>
      </c>
      <c r="P29" s="11">
        <v>732.30913565698609</v>
      </c>
      <c r="Q29" s="11">
        <v>763.75092116046483</v>
      </c>
      <c r="R29" s="11">
        <v>807.59299637773438</v>
      </c>
      <c r="S29" s="11">
        <v>910.9819185973364</v>
      </c>
      <c r="T29" s="11">
        <v>1025.8470725062073</v>
      </c>
      <c r="U29" s="11">
        <v>1189.8845464834899</v>
      </c>
      <c r="V29" s="11">
        <v>1381.5242763845959</v>
      </c>
      <c r="W29" s="11">
        <v>1650.2683772171331</v>
      </c>
      <c r="X29" s="11">
        <v>2137.5769618110098</v>
      </c>
      <c r="Y29" s="11">
        <v>2716.9371090533868</v>
      </c>
      <c r="Z29" s="11">
        <v>3301.9617214495038</v>
      </c>
      <c r="AA29" s="11">
        <v>4111.5250581987957</v>
      </c>
      <c r="AB29" s="11">
        <v>4745.1380534259361</v>
      </c>
      <c r="AC29" s="11">
        <v>5239.4848624122897</v>
      </c>
      <c r="AD29" s="11">
        <v>5727.7162406411453</v>
      </c>
      <c r="AE29" s="11">
        <v>6026.2217532741879</v>
      </c>
      <c r="AF29" s="11">
        <v>6451.861634480576</v>
      </c>
      <c r="AG29" s="11">
        <v>7211.4331160058427</v>
      </c>
    </row>
    <row r="30" spans="1:33" x14ac:dyDescent="0.25">
      <c r="A30" s="3">
        <v>27</v>
      </c>
      <c r="B30" s="5" t="s">
        <v>29</v>
      </c>
      <c r="C30" s="11">
        <v>100</v>
      </c>
      <c r="D30" s="11">
        <v>115.65493778354259</v>
      </c>
      <c r="E30" s="11">
        <v>98.413756963766474</v>
      </c>
      <c r="F30" s="11">
        <v>79.969390594564501</v>
      </c>
      <c r="G30" s="11">
        <v>97.652115741310993</v>
      </c>
      <c r="H30" s="11">
        <v>104.33680963681789</v>
      </c>
      <c r="I30" s="11">
        <v>153.32768050020113</v>
      </c>
      <c r="J30" s="11">
        <v>248.0378873038222</v>
      </c>
      <c r="K30" s="11">
        <v>311.48059987634548</v>
      </c>
      <c r="L30" s="11">
        <v>390.76933905695108</v>
      </c>
      <c r="M30" s="11">
        <v>477.37981938571806</v>
      </c>
      <c r="N30" s="11">
        <v>489.38289374751508</v>
      </c>
      <c r="O30" s="11">
        <v>491.04787480416138</v>
      </c>
      <c r="P30" s="11">
        <v>536.19980488479928</v>
      </c>
      <c r="Q30" s="11">
        <v>575.62757035644745</v>
      </c>
      <c r="R30" s="11">
        <v>609.75602845425033</v>
      </c>
      <c r="S30" s="11">
        <v>614.48090617917478</v>
      </c>
      <c r="T30" s="11">
        <v>615.39355141577812</v>
      </c>
      <c r="U30" s="11">
        <v>634.04193575037186</v>
      </c>
      <c r="V30" s="11">
        <v>661.85166771004492</v>
      </c>
      <c r="W30" s="11">
        <v>722.46309229855672</v>
      </c>
      <c r="X30" s="11">
        <v>1009.5950032375047</v>
      </c>
      <c r="Y30" s="11">
        <v>1231.0295801444186</v>
      </c>
      <c r="Z30" s="11">
        <v>1485.2061996647069</v>
      </c>
      <c r="AA30" s="11">
        <v>1863.320340565798</v>
      </c>
      <c r="AB30" s="11">
        <v>2206.8045158640707</v>
      </c>
      <c r="AC30" s="11">
        <v>2759.869020496044</v>
      </c>
      <c r="AD30" s="11">
        <v>3388.2163183950811</v>
      </c>
      <c r="AE30" s="11">
        <v>3857.8856276568495</v>
      </c>
      <c r="AF30" s="11">
        <v>4515.7671394626313</v>
      </c>
      <c r="AG30" s="11">
        <v>5319.2513565159152</v>
      </c>
    </row>
    <row r="31" spans="1:33" x14ac:dyDescent="0.25">
      <c r="A31" s="3">
        <v>28</v>
      </c>
      <c r="B31" s="5" t="s">
        <v>30</v>
      </c>
      <c r="C31" s="11">
        <v>100</v>
      </c>
      <c r="D31" s="11">
        <v>130.77658740014257</v>
      </c>
      <c r="E31" s="11">
        <v>124.55118881918548</v>
      </c>
      <c r="F31" s="11">
        <v>93.338621391419608</v>
      </c>
      <c r="G31" s="11">
        <v>115.7676000092911</v>
      </c>
      <c r="H31" s="11">
        <v>125.61319288227229</v>
      </c>
      <c r="I31" s="11">
        <v>194.66523309146586</v>
      </c>
      <c r="J31" s="11">
        <v>331.44889962531687</v>
      </c>
      <c r="K31" s="11">
        <v>429.71766549395807</v>
      </c>
      <c r="L31" s="11">
        <v>561.00303212768881</v>
      </c>
      <c r="M31" s="11">
        <v>712.43732947631918</v>
      </c>
      <c r="N31" s="11">
        <v>774.88797029694115</v>
      </c>
      <c r="O31" s="11">
        <v>823.1285277295849</v>
      </c>
      <c r="P31" s="11">
        <v>940.26109889167424</v>
      </c>
      <c r="Q31" s="11">
        <v>1059.76760090267</v>
      </c>
      <c r="R31" s="11">
        <v>1176.9740991614747</v>
      </c>
      <c r="S31" s="11">
        <v>1289.8726131151582</v>
      </c>
      <c r="T31" s="11">
        <v>1399.5158780216302</v>
      </c>
      <c r="U31" s="11">
        <v>1530.3422712905569</v>
      </c>
      <c r="V31" s="11">
        <v>1706.7488515615364</v>
      </c>
      <c r="W31" s="11">
        <v>1986.3887037609459</v>
      </c>
      <c r="X31" s="11">
        <v>2848.1452562478444</v>
      </c>
      <c r="Y31" s="11">
        <v>3562.2262910663908</v>
      </c>
      <c r="Z31" s="11">
        <v>4486.9213808777631</v>
      </c>
      <c r="AA31" s="11">
        <v>5821.0374629471144</v>
      </c>
      <c r="AB31" s="11">
        <v>7125.7479814105736</v>
      </c>
      <c r="AC31" s="11">
        <v>7600.0818781681437</v>
      </c>
      <c r="AD31" s="11">
        <v>7857.0299085358765</v>
      </c>
      <c r="AE31" s="11">
        <v>8324.5830601083126</v>
      </c>
      <c r="AF31" s="11">
        <v>8512.6582843910655</v>
      </c>
      <c r="AG31" s="11">
        <v>8656.4409038849481</v>
      </c>
    </row>
    <row r="32" spans="1:33" x14ac:dyDescent="0.25">
      <c r="A32" s="3">
        <v>29</v>
      </c>
      <c r="B32" s="5" t="s">
        <v>31</v>
      </c>
      <c r="C32" s="11">
        <v>100</v>
      </c>
      <c r="D32" s="11">
        <v>120.51814106660927</v>
      </c>
      <c r="E32" s="11">
        <v>144.2228682083929</v>
      </c>
      <c r="F32" s="11">
        <v>203.73113411434804</v>
      </c>
      <c r="G32" s="11">
        <v>248.20236577360109</v>
      </c>
      <c r="H32" s="11">
        <v>296.11991166178137</v>
      </c>
      <c r="I32" s="11">
        <v>418.70081015008435</v>
      </c>
      <c r="J32" s="11">
        <v>586.70189298919149</v>
      </c>
      <c r="K32" s="11">
        <v>715.81028096993282</v>
      </c>
      <c r="L32" s="11">
        <v>885.47954896175781</v>
      </c>
      <c r="M32" s="11">
        <v>1041.2398252389619</v>
      </c>
      <c r="N32" s="11">
        <v>1147.45446616862</v>
      </c>
      <c r="O32" s="11">
        <v>1247.6521992296261</v>
      </c>
      <c r="P32" s="11">
        <v>1503.3305602606986</v>
      </c>
      <c r="Q32" s="11">
        <v>1688.872742781658</v>
      </c>
      <c r="R32" s="11">
        <v>1855.193254218827</v>
      </c>
      <c r="S32" s="11">
        <v>1842.8670208452916</v>
      </c>
      <c r="T32" s="11">
        <v>1973.6670895442821</v>
      </c>
      <c r="U32" s="11">
        <v>2121.7389527745522</v>
      </c>
      <c r="V32" s="11">
        <v>2200.2920345563589</v>
      </c>
      <c r="W32" s="11">
        <v>2361.2085659213426</v>
      </c>
      <c r="X32" s="11">
        <v>3197.5140670121627</v>
      </c>
      <c r="Y32" s="11">
        <v>3773.1413762655216</v>
      </c>
      <c r="Z32" s="11">
        <v>4353.9619716610287</v>
      </c>
      <c r="AA32" s="11">
        <v>5437.1937356225353</v>
      </c>
      <c r="AB32" s="11">
        <v>6449.0411191550802</v>
      </c>
      <c r="AC32" s="11">
        <v>6770.5919797120905</v>
      </c>
      <c r="AD32" s="11">
        <v>7108.3343495591071</v>
      </c>
      <c r="AE32" s="11">
        <v>7831.0975302202141</v>
      </c>
      <c r="AF32" s="11">
        <v>8475.2016436680424</v>
      </c>
      <c r="AG32" s="11">
        <v>9451.9212413320201</v>
      </c>
    </row>
    <row r="33" spans="1:33" x14ac:dyDescent="0.25">
      <c r="A33" s="3">
        <v>30</v>
      </c>
      <c r="B33" s="5" t="s">
        <v>32</v>
      </c>
      <c r="C33" s="11">
        <v>100</v>
      </c>
      <c r="D33" s="11">
        <v>123.71315938913754</v>
      </c>
      <c r="E33" s="11">
        <v>151.88448703165989</v>
      </c>
      <c r="F33" s="11">
        <v>227.46853418896055</v>
      </c>
      <c r="G33" s="11">
        <v>288.39933371850844</v>
      </c>
      <c r="H33" s="11">
        <v>357.61999701640406</v>
      </c>
      <c r="I33" s="11">
        <v>608.03790650465146</v>
      </c>
      <c r="J33" s="11">
        <v>1000.5241897929698</v>
      </c>
      <c r="K33" s="11">
        <v>1331.6563655679836</v>
      </c>
      <c r="L33" s="11">
        <v>1835.8189764947035</v>
      </c>
      <c r="M33" s="11">
        <v>2386.9114094523948</v>
      </c>
      <c r="N33" s="11">
        <v>2931.2965208138789</v>
      </c>
      <c r="O33" s="11">
        <v>3525.9239051150539</v>
      </c>
      <c r="P33" s="11">
        <v>4641.5802838702029</v>
      </c>
      <c r="Q33" s="11">
        <v>5688.1383926989256</v>
      </c>
      <c r="R33" s="11">
        <v>6787.2226265370264</v>
      </c>
      <c r="S33" s="11">
        <v>7112.5771758203455</v>
      </c>
      <c r="T33" s="11">
        <v>8023.8967906562357</v>
      </c>
      <c r="U33" s="11">
        <v>9184.8683879762757</v>
      </c>
      <c r="V33" s="11">
        <v>10063.339599983849</v>
      </c>
      <c r="W33" s="11">
        <v>11393.7596688703</v>
      </c>
      <c r="X33" s="11">
        <v>15852.768603998515</v>
      </c>
      <c r="Y33" s="11">
        <v>19213.921359992288</v>
      </c>
      <c r="Z33" s="11">
        <v>23049.029053796221</v>
      </c>
      <c r="AA33" s="11">
        <v>29722.80580004468</v>
      </c>
      <c r="AB33" s="11">
        <v>36389.642800920803</v>
      </c>
      <c r="AC33" s="11">
        <v>44176.10304450422</v>
      </c>
      <c r="AD33" s="11">
        <v>53275.708171344137</v>
      </c>
      <c r="AE33" s="11">
        <v>63673.358877970117</v>
      </c>
      <c r="AF33" s="11">
        <v>76596.763704966885</v>
      </c>
      <c r="AG33" s="11">
        <v>94768.486962427312</v>
      </c>
    </row>
    <row r="34" spans="1:33" x14ac:dyDescent="0.25">
      <c r="A34" s="3">
        <v>31</v>
      </c>
      <c r="B34" s="5" t="s">
        <v>33</v>
      </c>
      <c r="C34" s="11">
        <v>100</v>
      </c>
      <c r="D34" s="11">
        <v>259.82696483128336</v>
      </c>
      <c r="E34" s="11">
        <v>539.31550189591007</v>
      </c>
      <c r="F34" s="11">
        <v>635.04836918589137</v>
      </c>
      <c r="G34" s="11">
        <v>822.87559552200605</v>
      </c>
      <c r="H34" s="11">
        <v>1215.0476693842297</v>
      </c>
      <c r="I34" s="11">
        <v>1554.6351731364559</v>
      </c>
      <c r="J34" s="11">
        <v>2335.9075598836853</v>
      </c>
      <c r="K34" s="11">
        <v>3176.7979838345814</v>
      </c>
      <c r="L34" s="11">
        <v>3823.7199614740771</v>
      </c>
      <c r="M34" s="11">
        <v>4619.9386384437885</v>
      </c>
      <c r="N34" s="11">
        <v>4869.3304555524664</v>
      </c>
      <c r="O34" s="11">
        <v>4953.8361101340479</v>
      </c>
      <c r="P34" s="11">
        <v>5453.1952391388022</v>
      </c>
      <c r="Q34" s="11">
        <v>6011.9914697860622</v>
      </c>
      <c r="R34" s="11">
        <v>6402.7754502210819</v>
      </c>
      <c r="S34" s="11">
        <v>7871.1711180804796</v>
      </c>
      <c r="T34" s="11">
        <v>8966.34690641626</v>
      </c>
      <c r="U34" s="11">
        <v>11196.140593836955</v>
      </c>
      <c r="V34" s="11">
        <v>13839.655181939223</v>
      </c>
      <c r="W34" s="11">
        <v>18456.946544360977</v>
      </c>
      <c r="X34" s="11">
        <v>22546.964978610005</v>
      </c>
      <c r="Y34" s="11">
        <v>28608.472019903827</v>
      </c>
      <c r="Z34" s="11">
        <v>35442.090491721152</v>
      </c>
      <c r="AA34" s="11">
        <v>43751.190123220316</v>
      </c>
      <c r="AB34" s="11">
        <v>51460.559730834168</v>
      </c>
      <c r="AC34" s="11">
        <v>62596.798223240388</v>
      </c>
      <c r="AD34" s="11">
        <v>72727.48618352112</v>
      </c>
      <c r="AE34" s="11">
        <v>86955.697030078562</v>
      </c>
      <c r="AF34" s="11">
        <v>99927.027260957853</v>
      </c>
      <c r="AG34" s="11">
        <v>114432.30431796037</v>
      </c>
    </row>
    <row r="35" spans="1:33" x14ac:dyDescent="0.25">
      <c r="A35" s="3">
        <v>32</v>
      </c>
      <c r="B35" s="5" t="s">
        <v>34</v>
      </c>
      <c r="C35" s="11">
        <v>100</v>
      </c>
      <c r="D35" s="11">
        <v>178.34037939475985</v>
      </c>
      <c r="E35" s="11">
        <v>316.73266724259008</v>
      </c>
      <c r="F35" s="11">
        <v>345.50756358951048</v>
      </c>
      <c r="G35" s="11">
        <v>419.53944319770142</v>
      </c>
      <c r="H35" s="11">
        <v>590.17518246675229</v>
      </c>
      <c r="I35" s="11">
        <v>890.13475670966545</v>
      </c>
      <c r="J35" s="11">
        <v>1577.3009316875491</v>
      </c>
      <c r="K35" s="11">
        <v>2228.4627241069379</v>
      </c>
      <c r="L35" s="11">
        <v>2946.7168885250335</v>
      </c>
      <c r="M35" s="11">
        <v>3895.7666206544459</v>
      </c>
      <c r="N35" s="11">
        <v>5288.8751992603957</v>
      </c>
      <c r="O35" s="11">
        <v>6614.5854441929914</v>
      </c>
      <c r="P35" s="11">
        <v>8229.6578012749269</v>
      </c>
      <c r="Q35" s="11">
        <v>10407.39481968069</v>
      </c>
      <c r="R35" s="11">
        <v>12552.762691216059</v>
      </c>
      <c r="S35" s="11">
        <v>12377.382719353116</v>
      </c>
      <c r="T35" s="11">
        <v>11344.993821971635</v>
      </c>
      <c r="U35" s="11">
        <v>13632.04249853327</v>
      </c>
      <c r="V35" s="11">
        <v>14886.485364585873</v>
      </c>
      <c r="W35" s="11">
        <v>17561.355305187069</v>
      </c>
      <c r="X35" s="11">
        <v>21705.046780740904</v>
      </c>
      <c r="Y35" s="11">
        <v>27883.748720069849</v>
      </c>
      <c r="Z35" s="11">
        <v>32552.518378535566</v>
      </c>
      <c r="AA35" s="11">
        <v>39186.075729852746</v>
      </c>
      <c r="AB35" s="11">
        <v>44891.301977665484</v>
      </c>
      <c r="AC35" s="11">
        <v>55515.569967213014</v>
      </c>
      <c r="AD35" s="11">
        <v>65592.874380927096</v>
      </c>
      <c r="AE35" s="11">
        <v>78039.235474840549</v>
      </c>
      <c r="AF35" s="11">
        <v>90234.685162582682</v>
      </c>
      <c r="AG35" s="11">
        <v>103988.30176086653</v>
      </c>
    </row>
    <row r="36" spans="1:33" x14ac:dyDescent="0.25">
      <c r="A36" s="3">
        <v>33</v>
      </c>
      <c r="B36" s="5" t="s">
        <v>35</v>
      </c>
      <c r="C36" s="11">
        <v>100</v>
      </c>
      <c r="D36" s="11">
        <v>123.79708776058919</v>
      </c>
      <c r="E36" s="11">
        <v>167.74637855683957</v>
      </c>
      <c r="F36" s="11">
        <v>175.83384687644366</v>
      </c>
      <c r="G36" s="11">
        <v>188.35215658107992</v>
      </c>
      <c r="H36" s="11">
        <v>237.01324469822092</v>
      </c>
      <c r="I36" s="11">
        <v>288.04060233249987</v>
      </c>
      <c r="J36" s="11">
        <v>405.76765338368477</v>
      </c>
      <c r="K36" s="11">
        <v>486.27412831235301</v>
      </c>
      <c r="L36" s="11">
        <v>519.22748259881666</v>
      </c>
      <c r="M36" s="11">
        <v>543.53599930061</v>
      </c>
      <c r="N36" s="11">
        <v>679.48104575947673</v>
      </c>
      <c r="O36" s="11">
        <v>802.48412016137399</v>
      </c>
      <c r="P36" s="11">
        <v>896.72683763438204</v>
      </c>
      <c r="Q36" s="11">
        <v>1067.1620107805484</v>
      </c>
      <c r="R36" s="11">
        <v>1222.9888466150294</v>
      </c>
      <c r="S36" s="11">
        <v>1361.7534804509351</v>
      </c>
      <c r="T36" s="11">
        <v>1423.4155088019431</v>
      </c>
      <c r="U36" s="11">
        <v>1764.9312480768915</v>
      </c>
      <c r="V36" s="11">
        <v>2096.6023873540685</v>
      </c>
      <c r="W36" s="11">
        <v>2696.8624301574228</v>
      </c>
      <c r="X36" s="11">
        <v>3491.2734812051795</v>
      </c>
      <c r="Y36" s="11">
        <v>4698.0006531068439</v>
      </c>
      <c r="Z36" s="11">
        <v>5874.1492254855666</v>
      </c>
      <c r="AA36" s="11">
        <v>7497.3820015067759</v>
      </c>
      <c r="AB36" s="11">
        <v>9114.2859836586176</v>
      </c>
      <c r="AC36" s="11">
        <v>11911.503165682581</v>
      </c>
      <c r="AD36" s="11">
        <v>14830.04222909994</v>
      </c>
      <c r="AE36" s="11">
        <v>18620.650346995157</v>
      </c>
      <c r="AF36" s="11">
        <v>22647.148314392958</v>
      </c>
      <c r="AG36" s="11">
        <v>27411.168469852961</v>
      </c>
    </row>
    <row r="37" spans="1:33" x14ac:dyDescent="0.25">
      <c r="A37" s="3">
        <v>34</v>
      </c>
      <c r="B37" s="5" t="s">
        <v>36</v>
      </c>
      <c r="C37" s="11">
        <v>100</v>
      </c>
      <c r="D37" s="11">
        <v>139.55204096842192</v>
      </c>
      <c r="E37" s="11">
        <v>184.28784362157441</v>
      </c>
      <c r="F37" s="11">
        <v>219.02598854417309</v>
      </c>
      <c r="G37" s="11">
        <v>294.49146136320081</v>
      </c>
      <c r="H37" s="11">
        <v>398.77179907586822</v>
      </c>
      <c r="I37" s="11">
        <v>563.48827800608979</v>
      </c>
      <c r="J37" s="11">
        <v>658.99591167514836</v>
      </c>
      <c r="K37" s="11">
        <v>815.42171496710182</v>
      </c>
      <c r="L37" s="11">
        <v>955.53627323637761</v>
      </c>
      <c r="M37" s="11">
        <v>1133.5104230990357</v>
      </c>
      <c r="N37" s="11">
        <v>1276.7641547601309</v>
      </c>
      <c r="O37" s="11">
        <v>1408.0653919042659</v>
      </c>
      <c r="P37" s="11">
        <v>1641.904797393694</v>
      </c>
      <c r="Q37" s="11">
        <v>1849.002406149523</v>
      </c>
      <c r="R37" s="11">
        <v>2085.8244788450493</v>
      </c>
      <c r="S37" s="11">
        <v>2336.3669271554218</v>
      </c>
      <c r="T37" s="11">
        <v>2727.6510231458824</v>
      </c>
      <c r="U37" s="11">
        <v>3180.2200668611476</v>
      </c>
      <c r="V37" s="11">
        <v>3722.9936332857801</v>
      </c>
      <c r="W37" s="11">
        <v>4561.4904286353121</v>
      </c>
      <c r="X37" s="11">
        <v>5526.0417775695805</v>
      </c>
      <c r="Y37" s="11">
        <v>6216.3831101079622</v>
      </c>
      <c r="Z37" s="11">
        <v>6944.4722441070689</v>
      </c>
      <c r="AA37" s="11">
        <v>8196.2182995123894</v>
      </c>
      <c r="AB37" s="11">
        <v>9320.2947000830518</v>
      </c>
      <c r="AC37" s="11">
        <v>10349.87649852012</v>
      </c>
      <c r="AD37" s="11">
        <v>11298.069757042786</v>
      </c>
      <c r="AE37" s="11">
        <v>12853.208909141247</v>
      </c>
      <c r="AF37" s="11">
        <v>14359.40527649427</v>
      </c>
      <c r="AG37" s="11">
        <v>15781.631284202465</v>
      </c>
    </row>
    <row r="38" spans="1:33" x14ac:dyDescent="0.25">
      <c r="A38" s="3">
        <v>35</v>
      </c>
      <c r="B38" s="5" t="s">
        <v>37</v>
      </c>
      <c r="C38" s="11">
        <v>100</v>
      </c>
      <c r="D38" s="11">
        <v>122.23796000501297</v>
      </c>
      <c r="E38" s="11">
        <v>141.13667909662499</v>
      </c>
      <c r="F38" s="11">
        <v>156.67682660089903</v>
      </c>
      <c r="G38" s="11">
        <v>189.81450829149944</v>
      </c>
      <c r="H38" s="11">
        <v>230.94663551689158</v>
      </c>
      <c r="I38" s="11">
        <v>362.87570672234534</v>
      </c>
      <c r="J38" s="11">
        <v>470.26439869189869</v>
      </c>
      <c r="K38" s="11">
        <v>581.54233949629122</v>
      </c>
      <c r="L38" s="11">
        <v>716.29428024866229</v>
      </c>
      <c r="M38" s="11">
        <v>892.51672369314008</v>
      </c>
      <c r="N38" s="11">
        <v>1022.9591655769764</v>
      </c>
      <c r="O38" s="11">
        <v>1148.1580882613746</v>
      </c>
      <c r="P38" s="11">
        <v>1384.2583287420523</v>
      </c>
      <c r="Q38" s="11">
        <v>1599.3655755575157</v>
      </c>
      <c r="R38" s="11">
        <v>1851.3482997283068</v>
      </c>
      <c r="S38" s="11">
        <v>2035.2616321000328</v>
      </c>
      <c r="T38" s="11">
        <v>2332.3876870109702</v>
      </c>
      <c r="U38" s="11">
        <v>2728.9774487293785</v>
      </c>
      <c r="V38" s="11">
        <v>3170.9458197269832</v>
      </c>
      <c r="W38" s="11">
        <v>3856.3068836116099</v>
      </c>
      <c r="X38" s="11">
        <v>4746.4057951823488</v>
      </c>
      <c r="Y38" s="11">
        <v>5426.3790987531438</v>
      </c>
      <c r="Z38" s="11">
        <v>6088.4174385142715</v>
      </c>
      <c r="AA38" s="11">
        <v>7261.5528856499031</v>
      </c>
      <c r="AB38" s="11">
        <v>8345.6490022534745</v>
      </c>
      <c r="AC38" s="11">
        <v>8979.151247449181</v>
      </c>
      <c r="AD38" s="11">
        <v>9489.8475536943479</v>
      </c>
      <c r="AE38" s="11">
        <v>10675.639567465827</v>
      </c>
      <c r="AF38" s="11">
        <v>11661.48029217102</v>
      </c>
      <c r="AG38" s="11">
        <v>12525.28357566629</v>
      </c>
    </row>
    <row r="39" spans="1:33" x14ac:dyDescent="0.25">
      <c r="A39" s="3">
        <v>36</v>
      </c>
      <c r="B39" s="5" t="s">
        <v>38</v>
      </c>
      <c r="C39" s="11">
        <v>100</v>
      </c>
      <c r="D39" s="11">
        <v>130.56092367120468</v>
      </c>
      <c r="E39" s="11">
        <v>161.87966913105132</v>
      </c>
      <c r="F39" s="11">
        <v>186.64836681728133</v>
      </c>
      <c r="G39" s="11">
        <v>240.13324053393595</v>
      </c>
      <c r="H39" s="11">
        <v>311.62104982453508</v>
      </c>
      <c r="I39" s="11">
        <v>449.91626477261485</v>
      </c>
      <c r="J39" s="11">
        <v>538.2017424230271</v>
      </c>
      <c r="K39" s="11">
        <v>658.79250316600496</v>
      </c>
      <c r="L39" s="11">
        <v>776.75820464148217</v>
      </c>
      <c r="M39" s="11">
        <v>927.29143233988918</v>
      </c>
      <c r="N39" s="11">
        <v>1094.7401718301085</v>
      </c>
      <c r="O39" s="11">
        <v>1264.2798023549874</v>
      </c>
      <c r="P39" s="11">
        <v>1514.2134116890727</v>
      </c>
      <c r="Q39" s="11">
        <v>1767.8962955668185</v>
      </c>
      <c r="R39" s="11">
        <v>2067.2767046771664</v>
      </c>
      <c r="S39" s="11">
        <v>2229.7858403094242</v>
      </c>
      <c r="T39" s="11">
        <v>2505.66810310249</v>
      </c>
      <c r="U39" s="11">
        <v>2918.5184590947733</v>
      </c>
      <c r="V39" s="11">
        <v>3349.5847540474783</v>
      </c>
      <c r="W39" s="11">
        <v>4022.8123860639344</v>
      </c>
      <c r="X39" s="11">
        <v>5235.4987571114079</v>
      </c>
      <c r="Y39" s="11">
        <v>6311.5669690945906</v>
      </c>
      <c r="Z39" s="11">
        <v>7225.3542633595989</v>
      </c>
      <c r="AA39" s="11">
        <v>8922.9940198607674</v>
      </c>
      <c r="AB39" s="11">
        <v>10607.380539678657</v>
      </c>
      <c r="AC39" s="11">
        <v>12172.634542067615</v>
      </c>
      <c r="AD39" s="11">
        <v>13713.379323622959</v>
      </c>
      <c r="AE39" s="11">
        <v>16168.672125823588</v>
      </c>
      <c r="AF39" s="11">
        <v>18650.2169038381</v>
      </c>
      <c r="AG39" s="11">
        <v>21141.858595627178</v>
      </c>
    </row>
    <row r="40" spans="1:33" x14ac:dyDescent="0.25">
      <c r="A40" s="3">
        <v>37</v>
      </c>
      <c r="B40" s="6" t="s">
        <v>39</v>
      </c>
      <c r="C40" s="11">
        <v>100</v>
      </c>
      <c r="D40" s="11">
        <v>110.35360886025562</v>
      </c>
      <c r="E40" s="11">
        <v>131.02509832940834</v>
      </c>
      <c r="F40" s="11">
        <v>128.06596618836107</v>
      </c>
      <c r="G40" s="11">
        <v>121.81058503148468</v>
      </c>
      <c r="H40" s="11">
        <v>133.92298830217595</v>
      </c>
      <c r="I40" s="11">
        <v>215.99481480052677</v>
      </c>
      <c r="J40" s="11">
        <v>403.84251863568051</v>
      </c>
      <c r="K40" s="11">
        <v>530.93145962400729</v>
      </c>
      <c r="L40" s="11">
        <v>696.88326900786808</v>
      </c>
      <c r="M40" s="11">
        <v>915.35604627224996</v>
      </c>
      <c r="N40" s="11">
        <v>888.40730031195369</v>
      </c>
      <c r="O40" s="11">
        <v>824.16439730166223</v>
      </c>
      <c r="P40" s="11">
        <v>906.10615542972982</v>
      </c>
      <c r="Q40" s="11">
        <v>947.56714719338152</v>
      </c>
      <c r="R40" s="11">
        <v>952.59452862380908</v>
      </c>
      <c r="S40" s="11">
        <v>979.32189094071816</v>
      </c>
      <c r="T40" s="11">
        <v>942.65549899434825</v>
      </c>
      <c r="U40" s="11">
        <v>1043.3701516982096</v>
      </c>
      <c r="V40" s="11">
        <v>1116.8984546106537</v>
      </c>
      <c r="W40" s="11">
        <v>1287.8929888457708</v>
      </c>
      <c r="X40" s="11">
        <v>1684.7501301998846</v>
      </c>
      <c r="Y40" s="11">
        <v>2289.5483247614743</v>
      </c>
      <c r="Z40" s="11">
        <v>2728.5371845611853</v>
      </c>
      <c r="AA40" s="11">
        <v>3419.3580488078583</v>
      </c>
      <c r="AB40" s="11">
        <v>4083.349407393247</v>
      </c>
      <c r="AC40" s="11">
        <v>4821.1746221573003</v>
      </c>
      <c r="AD40" s="11">
        <v>5426.2796851354669</v>
      </c>
      <c r="AE40" s="11">
        <v>6432.5450614350548</v>
      </c>
      <c r="AF40" s="11">
        <v>7232.6781546511584</v>
      </c>
      <c r="AG40" s="11">
        <v>8094.0709514849768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9"/>
  <sheetViews>
    <sheetView workbookViewId="0">
      <selection activeCell="C1" sqref="C1:C1048576"/>
    </sheetView>
  </sheetViews>
  <sheetFormatPr defaultColWidth="9" defaultRowHeight="14" x14ac:dyDescent="0.25"/>
  <sheetData>
    <row r="1" spans="1:33" x14ac:dyDescent="0.25">
      <c r="A1" s="7" t="s">
        <v>44</v>
      </c>
    </row>
    <row r="2" spans="1:33" x14ac:dyDescent="0.25">
      <c r="A2" s="8" t="s">
        <v>1</v>
      </c>
      <c r="B2" s="5" t="s">
        <v>2</v>
      </c>
      <c r="C2" s="8">
        <v>1987</v>
      </c>
      <c r="D2" s="8">
        <v>1988</v>
      </c>
      <c r="E2" s="8">
        <v>1989</v>
      </c>
      <c r="F2" s="8">
        <v>1990</v>
      </c>
      <c r="G2" s="8">
        <v>1991</v>
      </c>
      <c r="H2" s="8">
        <v>1992</v>
      </c>
      <c r="I2" s="8">
        <v>1993</v>
      </c>
      <c r="J2" s="8">
        <v>1994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</row>
    <row r="3" spans="1:33" x14ac:dyDescent="0.25">
      <c r="A3" s="8">
        <v>1</v>
      </c>
      <c r="B3" s="5" t="s">
        <v>3</v>
      </c>
      <c r="C3" s="9">
        <v>329640.68133283203</v>
      </c>
      <c r="D3" s="9">
        <v>394250.85103041399</v>
      </c>
      <c r="E3" s="9">
        <v>434016.03406540601</v>
      </c>
      <c r="F3" s="9">
        <v>512543.03083583701</v>
      </c>
      <c r="G3" s="9">
        <v>540983.89846072602</v>
      </c>
      <c r="H3" s="9">
        <v>593451.72778128402</v>
      </c>
      <c r="I3" s="9">
        <v>706420.43282189895</v>
      </c>
      <c r="J3" s="9">
        <v>969251.22344195005</v>
      </c>
      <c r="K3" s="9">
        <v>1229196.5732362401</v>
      </c>
      <c r="L3" s="9">
        <v>1418357.4417612799</v>
      </c>
      <c r="M3" s="9">
        <v>1461864.02635064</v>
      </c>
      <c r="N3" s="9">
        <v>1499941.3615206501</v>
      </c>
      <c r="O3" s="9">
        <v>1490934.4335123301</v>
      </c>
      <c r="P3" s="9">
        <v>1505593.64954623</v>
      </c>
      <c r="Q3" s="9">
        <v>1586196.43119443</v>
      </c>
      <c r="R3" s="9">
        <v>1653570</v>
      </c>
      <c r="S3" s="9">
        <v>1738060</v>
      </c>
      <c r="T3" s="9">
        <v>2141273.4041131502</v>
      </c>
      <c r="U3" s="9">
        <v>2241620</v>
      </c>
      <c r="V3" s="9">
        <v>2403640</v>
      </c>
      <c r="W3" s="9">
        <v>2862370</v>
      </c>
      <c r="X3" s="9">
        <v>3369910</v>
      </c>
      <c r="Y3" s="9">
        <v>3522330</v>
      </c>
      <c r="Z3" s="9">
        <v>4053000</v>
      </c>
      <c r="AA3" s="9">
        <v>4748300</v>
      </c>
      <c r="AB3" s="9">
        <v>5236870</v>
      </c>
      <c r="AC3" s="9">
        <v>5697360</v>
      </c>
      <c r="AD3" s="9">
        <v>5747220</v>
      </c>
      <c r="AE3" s="9">
        <v>5985260</v>
      </c>
      <c r="AF3" s="9">
        <v>6245100</v>
      </c>
      <c r="AG3" s="9">
        <v>6466000</v>
      </c>
    </row>
    <row r="4" spans="1:33" x14ac:dyDescent="0.25">
      <c r="A4" s="8">
        <v>2</v>
      </c>
      <c r="B4" s="5" t="s">
        <v>4</v>
      </c>
      <c r="C4" s="9">
        <v>15997.975568940499</v>
      </c>
      <c r="D4" s="9">
        <v>19757.418930911499</v>
      </c>
      <c r="E4" s="9">
        <v>21793.7238516871</v>
      </c>
      <c r="F4" s="9">
        <v>22081.604153886499</v>
      </c>
      <c r="G4" s="9">
        <v>25192.271799754501</v>
      </c>
      <c r="H4" s="9">
        <v>30985.785216321001</v>
      </c>
      <c r="I4" s="9">
        <v>44128.523423905601</v>
      </c>
      <c r="J4" s="9">
        <v>62597.357295976399</v>
      </c>
      <c r="K4" s="9">
        <v>80106.157162818694</v>
      </c>
      <c r="L4" s="9">
        <v>96071.556015948503</v>
      </c>
      <c r="M4" s="9">
        <v>109145.776180837</v>
      </c>
      <c r="N4" s="9">
        <v>123370.765232499</v>
      </c>
      <c r="O4" s="9">
        <v>141957.87601158899</v>
      </c>
      <c r="P4" s="9">
        <v>166676.959092837</v>
      </c>
      <c r="Q4" s="9">
        <v>193582.19855729799</v>
      </c>
      <c r="R4" s="9">
        <v>224591.520492524</v>
      </c>
      <c r="S4" s="9">
        <v>242006.27261290999</v>
      </c>
      <c r="T4" s="9">
        <v>265014.51814845798</v>
      </c>
      <c r="U4" s="9">
        <v>357123.66375975701</v>
      </c>
      <c r="V4" s="9">
        <v>405114.06905756798</v>
      </c>
      <c r="W4" s="9">
        <v>436547.69979573699</v>
      </c>
      <c r="X4" s="9">
        <v>692993.74693255196</v>
      </c>
      <c r="Y4" s="9">
        <v>644335.52135275898</v>
      </c>
      <c r="Z4" s="9">
        <v>830002.00662446802</v>
      </c>
      <c r="AA4" s="9">
        <v>1062998.4791198501</v>
      </c>
      <c r="AB4" s="9">
        <v>1060476.91982859</v>
      </c>
      <c r="AC4" s="9">
        <v>1048476.90962603</v>
      </c>
      <c r="AD4" s="9">
        <v>938469.27910457796</v>
      </c>
      <c r="AE4" s="9">
        <v>772753.07884925301</v>
      </c>
      <c r="AF4" s="9">
        <v>732033.77324726398</v>
      </c>
      <c r="AG4" s="9">
        <v>835310.67158331501</v>
      </c>
    </row>
    <row r="5" spans="1:33" x14ac:dyDescent="0.25">
      <c r="A5" s="8">
        <v>3</v>
      </c>
      <c r="B5" s="5" t="s">
        <v>5</v>
      </c>
      <c r="C5" s="9">
        <v>19679.357983862199</v>
      </c>
      <c r="D5" s="9">
        <v>24139.969206239301</v>
      </c>
      <c r="E5" s="9">
        <v>26440.332357694999</v>
      </c>
      <c r="F5" s="9">
        <v>26652.043153946699</v>
      </c>
      <c r="G5" s="9">
        <v>30213.8755962551</v>
      </c>
      <c r="H5" s="9">
        <v>36920.296096547798</v>
      </c>
      <c r="I5" s="9">
        <v>51118.266944960102</v>
      </c>
      <c r="J5" s="9">
        <v>70467.656760267695</v>
      </c>
      <c r="K5" s="9">
        <v>88537.294418734004</v>
      </c>
      <c r="L5" s="9">
        <v>103650.576966458</v>
      </c>
      <c r="M5" s="9">
        <v>114894.40988315899</v>
      </c>
      <c r="N5" s="9">
        <v>129474.053283428</v>
      </c>
      <c r="O5" s="9">
        <v>148553.84367306199</v>
      </c>
      <c r="P5" s="9">
        <v>172167.30137102</v>
      </c>
      <c r="Q5" s="9">
        <v>198465.26451442501</v>
      </c>
      <c r="R5" s="9">
        <v>228599.24778152301</v>
      </c>
      <c r="S5" s="9">
        <v>261067.18962748701</v>
      </c>
      <c r="T5" s="9">
        <v>303646.97622742399</v>
      </c>
      <c r="U5" s="9">
        <v>419924.52744236402</v>
      </c>
      <c r="V5" s="9">
        <v>497968.75231058098</v>
      </c>
      <c r="W5" s="9">
        <v>561489.84017783403</v>
      </c>
      <c r="X5" s="9">
        <v>753815.03992382996</v>
      </c>
      <c r="Y5" s="9">
        <v>592111.51881666796</v>
      </c>
      <c r="Z5" s="9">
        <v>715361.57769703795</v>
      </c>
      <c r="AA5" s="9">
        <v>812492.776362426</v>
      </c>
      <c r="AB5" s="9">
        <v>716124.077788995</v>
      </c>
      <c r="AC5" s="9">
        <v>734266.63974754803</v>
      </c>
      <c r="AD5" s="9">
        <v>681999.79076518305</v>
      </c>
      <c r="AE5" s="9">
        <v>536661.56558568706</v>
      </c>
      <c r="AF5" s="9">
        <v>506188.64791308402</v>
      </c>
      <c r="AG5" s="9">
        <v>575053.70338870701</v>
      </c>
    </row>
    <row r="6" spans="1:33" x14ac:dyDescent="0.25">
      <c r="A6" s="8">
        <v>4</v>
      </c>
      <c r="B6" s="5" t="s">
        <v>6</v>
      </c>
      <c r="C6" s="9">
        <v>4623.1357250499104</v>
      </c>
      <c r="D6" s="9">
        <v>5781.6047528552199</v>
      </c>
      <c r="E6" s="9">
        <v>6459.95673084175</v>
      </c>
      <c r="F6" s="9">
        <v>6373.1424898485202</v>
      </c>
      <c r="G6" s="9">
        <v>7218.8422229356902</v>
      </c>
      <c r="H6" s="9">
        <v>8813.5655579417908</v>
      </c>
      <c r="I6" s="9">
        <v>13530.1838596085</v>
      </c>
      <c r="J6" s="9">
        <v>20561.277456557498</v>
      </c>
      <c r="K6" s="9">
        <v>27117.0017866735</v>
      </c>
      <c r="L6" s="9">
        <v>34041.811546232399</v>
      </c>
      <c r="M6" s="9">
        <v>40392.524828930698</v>
      </c>
      <c r="N6" s="9">
        <v>41950.191763874704</v>
      </c>
      <c r="O6" s="9">
        <v>44260.491479693497</v>
      </c>
      <c r="P6" s="9">
        <v>50942.675985180598</v>
      </c>
      <c r="Q6" s="9">
        <v>56058.311264319702</v>
      </c>
      <c r="R6" s="9">
        <v>61589.260669833202</v>
      </c>
      <c r="S6" s="9">
        <v>78722.2438620795</v>
      </c>
      <c r="T6" s="9">
        <v>101092.81737355499</v>
      </c>
      <c r="U6" s="9">
        <v>143446.921076926</v>
      </c>
      <c r="V6" s="9">
        <v>179728.10759530601</v>
      </c>
      <c r="W6" s="9">
        <v>213249.375065581</v>
      </c>
      <c r="X6" s="9">
        <v>320625.02907241898</v>
      </c>
      <c r="Y6" s="9">
        <v>283957.08218627598</v>
      </c>
      <c r="Z6" s="9">
        <v>372975.23498301598</v>
      </c>
      <c r="AA6" s="9">
        <v>471571.33667721302</v>
      </c>
      <c r="AB6" s="9">
        <v>464892.13891955902</v>
      </c>
      <c r="AC6" s="9">
        <v>469705.25133055798</v>
      </c>
      <c r="AD6" s="9">
        <v>429931.61265292403</v>
      </c>
      <c r="AE6" s="9">
        <v>355626.88234308199</v>
      </c>
      <c r="AF6" s="9">
        <v>341480.62682537199</v>
      </c>
      <c r="AG6" s="9">
        <v>394993.55444836902</v>
      </c>
    </row>
    <row r="7" spans="1:33" x14ac:dyDescent="0.25">
      <c r="A7" s="8">
        <v>5</v>
      </c>
      <c r="B7" s="5" t="s">
        <v>7</v>
      </c>
      <c r="C7" s="9">
        <v>5086.5375267040599</v>
      </c>
      <c r="D7" s="9">
        <v>7407.5719643951998</v>
      </c>
      <c r="E7" s="9">
        <v>9459.4492421727791</v>
      </c>
      <c r="F7" s="9">
        <v>9995.4049104299702</v>
      </c>
      <c r="G7" s="9">
        <v>12412.825605185801</v>
      </c>
      <c r="H7" s="9">
        <v>16534.728227385502</v>
      </c>
      <c r="I7" s="9">
        <v>23098.384055165701</v>
      </c>
      <c r="J7" s="9">
        <v>32136.721293602801</v>
      </c>
      <c r="K7" s="9">
        <v>42351.727564052097</v>
      </c>
      <c r="L7" s="9">
        <v>51043.235253711697</v>
      </c>
      <c r="M7" s="9">
        <v>58272.905752048297</v>
      </c>
      <c r="N7" s="9">
        <v>58719.248641854603</v>
      </c>
      <c r="O7" s="9">
        <v>59832.745766129599</v>
      </c>
      <c r="P7" s="9">
        <v>66140.231160356896</v>
      </c>
      <c r="Q7" s="9">
        <v>69666.554303969606</v>
      </c>
      <c r="R7" s="9">
        <v>72890.929071382197</v>
      </c>
      <c r="S7" s="9">
        <v>81613.690216638104</v>
      </c>
      <c r="T7" s="9">
        <v>93072.187179709101</v>
      </c>
      <c r="U7" s="9">
        <v>121077.819252974</v>
      </c>
      <c r="V7" s="9">
        <v>137748.624459816</v>
      </c>
      <c r="W7" s="9">
        <v>148897.67486553799</v>
      </c>
      <c r="X7" s="9">
        <v>217621.69824375899</v>
      </c>
      <c r="Y7" s="9">
        <v>187514.68833051799</v>
      </c>
      <c r="Z7" s="9">
        <v>232694.18726942001</v>
      </c>
      <c r="AA7" s="9">
        <v>282557.40784051397</v>
      </c>
      <c r="AB7" s="9">
        <v>267806.86346285598</v>
      </c>
      <c r="AC7" s="9">
        <v>294311.19929586397</v>
      </c>
      <c r="AD7" s="9">
        <v>291309.31747731502</v>
      </c>
      <c r="AE7" s="9">
        <v>245408.473221978</v>
      </c>
      <c r="AF7" s="9">
        <v>246336.95201427999</v>
      </c>
      <c r="AG7" s="9">
        <v>297192.82600099797</v>
      </c>
    </row>
    <row r="8" spans="1:33" x14ac:dyDescent="0.25">
      <c r="A8" s="8">
        <v>6</v>
      </c>
      <c r="B8" s="5" t="s">
        <v>8</v>
      </c>
      <c r="C8" s="9">
        <v>28524.2263837434</v>
      </c>
      <c r="D8" s="9">
        <v>36210.992756218402</v>
      </c>
      <c r="E8" s="9">
        <v>41067.5248295989</v>
      </c>
      <c r="F8" s="9">
        <v>43243.054206169101</v>
      </c>
      <c r="G8" s="9">
        <v>51043.995169522903</v>
      </c>
      <c r="H8" s="9">
        <v>65000.409721862503</v>
      </c>
      <c r="I8" s="9">
        <v>97934.572482413801</v>
      </c>
      <c r="J8" s="9">
        <v>145967.99643761499</v>
      </c>
      <c r="K8" s="9">
        <v>194290.249684682</v>
      </c>
      <c r="L8" s="9">
        <v>242398.545901415</v>
      </c>
      <c r="M8" s="9">
        <v>285680.25973408198</v>
      </c>
      <c r="N8" s="9">
        <v>272860.02614100499</v>
      </c>
      <c r="O8" s="9">
        <v>265237.60559091601</v>
      </c>
      <c r="P8" s="9">
        <v>292705.08785543399</v>
      </c>
      <c r="Q8" s="9">
        <v>303292.09527472203</v>
      </c>
      <c r="R8" s="9">
        <v>314069.35810510803</v>
      </c>
      <c r="S8" s="9">
        <v>367316.88494255499</v>
      </c>
      <c r="T8" s="9">
        <v>432019.02442278602</v>
      </c>
      <c r="U8" s="9">
        <v>496702.159896533</v>
      </c>
      <c r="V8" s="9">
        <v>582993.95413555903</v>
      </c>
      <c r="W8" s="9">
        <v>709164.27424211602</v>
      </c>
      <c r="X8" s="9">
        <v>873229.192655441</v>
      </c>
      <c r="Y8" s="9">
        <v>991582.05179417995</v>
      </c>
      <c r="Z8" s="9">
        <v>1201973.81509801</v>
      </c>
      <c r="AA8" s="9">
        <v>1447972.77501935</v>
      </c>
      <c r="AB8" s="9">
        <v>1618706.45979039</v>
      </c>
      <c r="AC8" s="9">
        <v>1765685.6461018301</v>
      </c>
      <c r="AD8" s="9">
        <v>1933627.5661253801</v>
      </c>
      <c r="AE8" s="9">
        <v>2046774.48367655</v>
      </c>
      <c r="AF8" s="9">
        <v>2209958.3094134801</v>
      </c>
      <c r="AG8" s="9">
        <v>2528774.3541748999</v>
      </c>
    </row>
    <row r="9" spans="1:33" x14ac:dyDescent="0.25">
      <c r="A9" s="8">
        <v>7</v>
      </c>
      <c r="B9" s="5" t="s">
        <v>9</v>
      </c>
      <c r="C9" s="9">
        <v>18972.869451693699</v>
      </c>
      <c r="D9" s="9">
        <v>23166.4091040403</v>
      </c>
      <c r="E9" s="9">
        <v>25253.023541154002</v>
      </c>
      <c r="F9" s="9">
        <v>26016.105907713601</v>
      </c>
      <c r="G9" s="9">
        <v>29734.747895548498</v>
      </c>
      <c r="H9" s="9">
        <v>36622.644069850801</v>
      </c>
      <c r="I9" s="9">
        <v>46789.569404092203</v>
      </c>
      <c r="J9" s="9">
        <v>59233.523454023198</v>
      </c>
      <c r="K9" s="9">
        <v>71150.276773756093</v>
      </c>
      <c r="L9" s="9">
        <v>77454.933844693194</v>
      </c>
      <c r="M9" s="9">
        <v>79328.587642645507</v>
      </c>
      <c r="N9" s="9">
        <v>86461.924912576302</v>
      </c>
      <c r="O9" s="9">
        <v>95858.846728294506</v>
      </c>
      <c r="P9" s="9">
        <v>105426.242715685</v>
      </c>
      <c r="Q9" s="9">
        <v>116556.313874368</v>
      </c>
      <c r="R9" s="9">
        <v>128874.301794471</v>
      </c>
      <c r="S9" s="9">
        <v>139658.51738469501</v>
      </c>
      <c r="T9" s="9">
        <v>151253.192685852</v>
      </c>
      <c r="U9" s="9">
        <v>172523.61828214899</v>
      </c>
      <c r="V9" s="9">
        <v>192627.79566979699</v>
      </c>
      <c r="W9" s="9">
        <v>222071.20132544401</v>
      </c>
      <c r="X9" s="9">
        <v>273984.48814149899</v>
      </c>
      <c r="Y9" s="9">
        <v>311673.92356855801</v>
      </c>
      <c r="Z9" s="9">
        <v>368757.938089762</v>
      </c>
      <c r="AA9" s="9">
        <v>439639.53499614698</v>
      </c>
      <c r="AB9" s="9">
        <v>486647.04798548197</v>
      </c>
      <c r="AC9" s="9">
        <v>503490.07331896498</v>
      </c>
      <c r="AD9" s="9">
        <v>522499.811609964</v>
      </c>
      <c r="AE9" s="9">
        <v>536458.34212750499</v>
      </c>
      <c r="AF9" s="9">
        <v>555248.02423299698</v>
      </c>
      <c r="AG9" s="9">
        <v>608961.210986914</v>
      </c>
    </row>
    <row r="10" spans="1:33" x14ac:dyDescent="0.25">
      <c r="A10" s="8">
        <v>8</v>
      </c>
      <c r="B10" s="5" t="s">
        <v>10</v>
      </c>
      <c r="C10" s="9">
        <v>41643.801632131799</v>
      </c>
      <c r="D10" s="9">
        <v>50492.951888896998</v>
      </c>
      <c r="E10" s="9">
        <v>54630.856542599802</v>
      </c>
      <c r="F10" s="9">
        <v>55488.548918140303</v>
      </c>
      <c r="G10" s="9">
        <v>62655.986330953303</v>
      </c>
      <c r="H10" s="9">
        <v>76164.409300788</v>
      </c>
      <c r="I10" s="9">
        <v>106786.447909282</v>
      </c>
      <c r="J10" s="9">
        <v>149182.966242911</v>
      </c>
      <c r="K10" s="9">
        <v>188311.117861028</v>
      </c>
      <c r="L10" s="9">
        <v>222652.25815217799</v>
      </c>
      <c r="M10" s="9">
        <v>249422.61022634199</v>
      </c>
      <c r="N10" s="9">
        <v>231148.35676366999</v>
      </c>
      <c r="O10" s="9">
        <v>216869.06184334701</v>
      </c>
      <c r="P10" s="9">
        <v>227969.54252767799</v>
      </c>
      <c r="Q10" s="9">
        <v>224676.29772401601</v>
      </c>
      <c r="R10" s="9">
        <v>219765.93319885599</v>
      </c>
      <c r="S10" s="9">
        <v>255145.61230903599</v>
      </c>
      <c r="T10" s="9">
        <v>297879.77124423598</v>
      </c>
      <c r="U10" s="9">
        <v>330277.54573080898</v>
      </c>
      <c r="V10" s="9">
        <v>378747.422358841</v>
      </c>
      <c r="W10" s="9">
        <v>449660.63044780598</v>
      </c>
      <c r="X10" s="9">
        <v>493218.29755810997</v>
      </c>
      <c r="Y10" s="9">
        <v>497586.98675934999</v>
      </c>
      <c r="Z10" s="9">
        <v>558469.99884903606</v>
      </c>
      <c r="AA10" s="9">
        <v>606762.82913532003</v>
      </c>
      <c r="AB10" s="9">
        <v>608821.48529434903</v>
      </c>
      <c r="AC10" s="9">
        <v>616776.76813364995</v>
      </c>
      <c r="AD10" s="9">
        <v>625459.07370249496</v>
      </c>
      <c r="AE10" s="9">
        <v>597930.84112994804</v>
      </c>
      <c r="AF10" s="9">
        <v>586122.43389178102</v>
      </c>
      <c r="AG10" s="9">
        <v>605225.82726532395</v>
      </c>
    </row>
    <row r="11" spans="1:33" x14ac:dyDescent="0.25">
      <c r="A11" s="8">
        <v>9</v>
      </c>
      <c r="B11" s="5" t="s">
        <v>11</v>
      </c>
      <c r="C11" s="9">
        <v>8921.0639952033507</v>
      </c>
      <c r="D11" s="9">
        <v>11390.077212627401</v>
      </c>
      <c r="E11" s="9">
        <v>12989.7765984578</v>
      </c>
      <c r="F11" s="9">
        <v>14065.7710042503</v>
      </c>
      <c r="G11" s="9">
        <v>16877.280459881</v>
      </c>
      <c r="H11" s="9">
        <v>21841.177273546</v>
      </c>
      <c r="I11" s="9">
        <v>36816.897121577902</v>
      </c>
      <c r="J11" s="9">
        <v>59769.559608574702</v>
      </c>
      <c r="K11" s="9">
        <v>82863.482467477006</v>
      </c>
      <c r="L11" s="9">
        <v>108508.535464949</v>
      </c>
      <c r="M11" s="9">
        <v>133302.21591965799</v>
      </c>
      <c r="N11" s="9">
        <v>119034.543668254</v>
      </c>
      <c r="O11" s="9">
        <v>106556.68704320599</v>
      </c>
      <c r="P11" s="9">
        <v>115736.797854056</v>
      </c>
      <c r="Q11" s="9">
        <v>113022.18252006899</v>
      </c>
      <c r="R11" s="9">
        <v>109327.061163697</v>
      </c>
      <c r="S11" s="9">
        <v>128920.956074103</v>
      </c>
      <c r="T11" s="9">
        <v>152874.28644664801</v>
      </c>
      <c r="U11" s="9">
        <v>170088.589724511</v>
      </c>
      <c r="V11" s="9">
        <v>197073.11986177301</v>
      </c>
      <c r="W11" s="9">
        <v>236540.73845837801</v>
      </c>
      <c r="X11" s="9">
        <v>278382.50079205399</v>
      </c>
      <c r="Y11" s="9">
        <v>302803.30622061202</v>
      </c>
      <c r="Z11" s="9">
        <v>356897.333156951</v>
      </c>
      <c r="AA11" s="9">
        <v>415533.07173198502</v>
      </c>
      <c r="AB11" s="9">
        <v>449361.88269071298</v>
      </c>
      <c r="AC11" s="9">
        <v>461648.88978423399</v>
      </c>
      <c r="AD11" s="9">
        <v>475442.73218025599</v>
      </c>
      <c r="AE11" s="9">
        <v>480074.97370911099</v>
      </c>
      <c r="AF11" s="9">
        <v>490363.88641806302</v>
      </c>
      <c r="AG11" s="9">
        <v>530308.975869052</v>
      </c>
    </row>
    <row r="12" spans="1:33" x14ac:dyDescent="0.25">
      <c r="A12" s="8">
        <v>10</v>
      </c>
      <c r="B12" s="5" t="s">
        <v>12</v>
      </c>
      <c r="C12" s="9">
        <v>4158.4335237835803</v>
      </c>
      <c r="D12" s="9">
        <v>5138.00550026363</v>
      </c>
      <c r="E12" s="9">
        <v>5670.5392428114401</v>
      </c>
      <c r="F12" s="9">
        <v>6194.11314497273</v>
      </c>
      <c r="G12" s="9">
        <v>7345.98325983223</v>
      </c>
      <c r="H12" s="9">
        <v>9398.4466811219099</v>
      </c>
      <c r="I12" s="9">
        <v>14858.029399659201</v>
      </c>
      <c r="J12" s="9">
        <v>23018.922716182198</v>
      </c>
      <c r="K12" s="9">
        <v>31207.229847058101</v>
      </c>
      <c r="L12" s="9">
        <v>39837.801066044398</v>
      </c>
      <c r="M12" s="9">
        <v>47905.7973235233</v>
      </c>
      <c r="N12" s="9">
        <v>45248.496714597</v>
      </c>
      <c r="O12" s="9">
        <v>43423.892594537101</v>
      </c>
      <c r="P12" s="9">
        <v>48152.708066742503</v>
      </c>
      <c r="Q12" s="9">
        <v>49671.154886659802</v>
      </c>
      <c r="R12" s="9">
        <v>51186.751375565997</v>
      </c>
      <c r="S12" s="9">
        <v>62022.268133821301</v>
      </c>
      <c r="T12" s="9">
        <v>75483.003776728394</v>
      </c>
      <c r="U12" s="9">
        <v>88179.413314740203</v>
      </c>
      <c r="V12" s="9">
        <v>106103.60043238501</v>
      </c>
      <c r="W12" s="9">
        <v>132298.42843373801</v>
      </c>
      <c r="X12" s="9">
        <v>160494.339705099</v>
      </c>
      <c r="Y12" s="9">
        <v>179755.523954837</v>
      </c>
      <c r="Z12" s="9">
        <v>218923.57443072801</v>
      </c>
      <c r="AA12" s="9">
        <v>262637.20904333598</v>
      </c>
      <c r="AB12" s="9">
        <v>292455.953761012</v>
      </c>
      <c r="AC12" s="9">
        <v>295416.47910713399</v>
      </c>
      <c r="AD12" s="9">
        <v>298596.03977949597</v>
      </c>
      <c r="AE12" s="9">
        <v>303478.67483946902</v>
      </c>
      <c r="AF12" s="9">
        <v>307870.26093739597</v>
      </c>
      <c r="AG12" s="9">
        <v>330492.05906208401</v>
      </c>
    </row>
    <row r="13" spans="1:33" x14ac:dyDescent="0.25">
      <c r="A13" s="8">
        <v>11</v>
      </c>
      <c r="B13" s="5" t="s">
        <v>13</v>
      </c>
      <c r="C13" s="9">
        <v>6710.84419418376</v>
      </c>
      <c r="D13" s="9">
        <v>7871.4077317184201</v>
      </c>
      <c r="E13" s="9">
        <v>8207.9618644636394</v>
      </c>
      <c r="F13" s="9">
        <v>8691.3736750037096</v>
      </c>
      <c r="G13" s="9">
        <v>9840.4917399950991</v>
      </c>
      <c r="H13" s="9">
        <v>11997.3182021063</v>
      </c>
      <c r="I13" s="9">
        <v>19016.859931532799</v>
      </c>
      <c r="J13" s="9">
        <v>29522.0149103697</v>
      </c>
      <c r="K13" s="9">
        <v>39344.720924535199</v>
      </c>
      <c r="L13" s="9">
        <v>49931.176809067103</v>
      </c>
      <c r="M13" s="9">
        <v>59739.0042005582</v>
      </c>
      <c r="N13" s="9">
        <v>64428.664161687098</v>
      </c>
      <c r="O13" s="9">
        <v>70770.608597504193</v>
      </c>
      <c r="P13" s="9">
        <v>82918.487904071604</v>
      </c>
      <c r="Q13" s="9">
        <v>93885.560533408701</v>
      </c>
      <c r="R13" s="9">
        <v>106125.530069085</v>
      </c>
      <c r="S13" s="9">
        <v>121341.85482228</v>
      </c>
      <c r="T13" s="9">
        <v>139452.797163273</v>
      </c>
      <c r="U13" s="9">
        <v>165728.69314256101</v>
      </c>
      <c r="V13" s="9">
        <v>195514.714869352</v>
      </c>
      <c r="W13" s="9">
        <v>239061.05071630501</v>
      </c>
      <c r="X13" s="9">
        <v>276778.96617113298</v>
      </c>
      <c r="Y13" s="9">
        <v>296119.19299625198</v>
      </c>
      <c r="Z13" s="9">
        <v>349353.04588969902</v>
      </c>
      <c r="AA13" s="9">
        <v>403519.62625751301</v>
      </c>
      <c r="AB13" s="9">
        <v>432852.510388806</v>
      </c>
      <c r="AC13" s="9">
        <v>457885.21495673701</v>
      </c>
      <c r="AD13" s="9">
        <v>486365.27651913301</v>
      </c>
      <c r="AE13" s="9">
        <v>497054.04549933202</v>
      </c>
      <c r="AF13" s="9">
        <v>519543.19515583402</v>
      </c>
      <c r="AG13" s="9">
        <v>575633.50782758102</v>
      </c>
    </row>
    <row r="14" spans="1:33" x14ac:dyDescent="0.25">
      <c r="A14" s="8">
        <v>12</v>
      </c>
      <c r="B14" s="5" t="s">
        <v>14</v>
      </c>
      <c r="C14" s="9">
        <v>13953.3073937381</v>
      </c>
      <c r="D14" s="9">
        <v>16748.790656741399</v>
      </c>
      <c r="E14" s="9">
        <v>17924.324667081</v>
      </c>
      <c r="F14" s="9">
        <v>19663.245393547</v>
      </c>
      <c r="G14" s="9">
        <v>23010.634337355099</v>
      </c>
      <c r="H14" s="9">
        <v>29047.519206933699</v>
      </c>
      <c r="I14" s="9">
        <v>41218.4071083253</v>
      </c>
      <c r="J14" s="9">
        <v>58245.440447638197</v>
      </c>
      <c r="K14" s="9">
        <v>75340.012403494402</v>
      </c>
      <c r="L14" s="9">
        <v>90637.694015184796</v>
      </c>
      <c r="M14" s="9">
        <v>103273.337232661</v>
      </c>
      <c r="N14" s="9">
        <v>114160.79905343799</v>
      </c>
      <c r="O14" s="9">
        <v>128117.89634702999</v>
      </c>
      <c r="P14" s="9">
        <v>148523.24470351101</v>
      </c>
      <c r="Q14" s="9">
        <v>168937.43119209699</v>
      </c>
      <c r="R14" s="9">
        <v>191749.42789761201</v>
      </c>
      <c r="S14" s="9">
        <v>198690.18331472899</v>
      </c>
      <c r="T14" s="9">
        <v>203636.14476239</v>
      </c>
      <c r="U14" s="9">
        <v>229200.16004225399</v>
      </c>
      <c r="V14" s="9">
        <v>245160.89904912899</v>
      </c>
      <c r="W14" s="9">
        <v>268614.60525002598</v>
      </c>
      <c r="X14" s="9">
        <v>315073.17534160102</v>
      </c>
      <c r="Y14" s="9">
        <v>341570.26243404602</v>
      </c>
      <c r="Z14" s="9">
        <v>381995.64270156203</v>
      </c>
      <c r="AA14" s="9">
        <v>431843.99953448598</v>
      </c>
      <c r="AB14" s="9">
        <v>452937.65758071397</v>
      </c>
      <c r="AC14" s="9">
        <v>488038.13270081702</v>
      </c>
      <c r="AD14" s="9">
        <v>528092.86967676098</v>
      </c>
      <c r="AE14" s="9">
        <v>538689.597936237</v>
      </c>
      <c r="AF14" s="9">
        <v>567894.43333796097</v>
      </c>
      <c r="AG14" s="9">
        <v>634697.28944392095</v>
      </c>
    </row>
    <row r="15" spans="1:33" x14ac:dyDescent="0.25">
      <c r="A15" s="8">
        <v>13</v>
      </c>
      <c r="B15" s="5" t="s">
        <v>15</v>
      </c>
      <c r="C15" s="9">
        <v>16674.603797231899</v>
      </c>
      <c r="D15" s="9">
        <v>19605.407320382299</v>
      </c>
      <c r="E15" s="9">
        <v>20500.276068550898</v>
      </c>
      <c r="F15" s="9">
        <v>20160.769580348198</v>
      </c>
      <c r="G15" s="9">
        <v>21875.913990295099</v>
      </c>
      <c r="H15" s="9">
        <v>25407.8047267447</v>
      </c>
      <c r="I15" s="9">
        <v>34106.434530958199</v>
      </c>
      <c r="J15" s="9">
        <v>45606.572979457596</v>
      </c>
      <c r="K15" s="9">
        <v>54663.921323530099</v>
      </c>
      <c r="L15" s="9">
        <v>61414.480101749803</v>
      </c>
      <c r="M15" s="9">
        <v>65209.675030880899</v>
      </c>
      <c r="N15" s="9">
        <v>69893.521845773605</v>
      </c>
      <c r="O15" s="9">
        <v>76347.574936211298</v>
      </c>
      <c r="P15" s="9">
        <v>84740.573639113107</v>
      </c>
      <c r="Q15" s="9">
        <v>93441.436930644602</v>
      </c>
      <c r="R15" s="9">
        <v>103059.596089022</v>
      </c>
      <c r="S15" s="9">
        <v>132385.108345157</v>
      </c>
      <c r="T15" s="9">
        <v>169635.99461837101</v>
      </c>
      <c r="U15" s="9">
        <v>209123.61751932799</v>
      </c>
      <c r="V15" s="9">
        <v>263649.36398575897</v>
      </c>
      <c r="W15" s="9">
        <v>343284.22845351102</v>
      </c>
      <c r="X15" s="9">
        <v>411940.42965142598</v>
      </c>
      <c r="Y15" s="9">
        <v>456652.724647169</v>
      </c>
      <c r="Z15" s="9">
        <v>564367.89898530301</v>
      </c>
      <c r="AA15" s="9">
        <v>678417.28151165904</v>
      </c>
      <c r="AB15" s="9">
        <v>756878.64436704805</v>
      </c>
      <c r="AC15" s="9">
        <v>791678.74183590396</v>
      </c>
      <c r="AD15" s="9">
        <v>831149.98841293203</v>
      </c>
      <c r="AE15" s="9">
        <v>861752.74014864</v>
      </c>
      <c r="AF15" s="9">
        <v>902018.82016743498</v>
      </c>
      <c r="AG15" s="9">
        <v>1000852.17878567</v>
      </c>
    </row>
    <row r="16" spans="1:33" x14ac:dyDescent="0.25">
      <c r="A16" s="8">
        <v>14</v>
      </c>
      <c r="B16" s="5" t="s">
        <v>16</v>
      </c>
      <c r="C16" s="9">
        <v>44130.283019937699</v>
      </c>
      <c r="D16" s="9">
        <v>55120.298747670902</v>
      </c>
      <c r="E16" s="9">
        <v>61511.368143255502</v>
      </c>
      <c r="F16" s="9">
        <v>65804.025792294706</v>
      </c>
      <c r="G16" s="9">
        <v>77662.817991082906</v>
      </c>
      <c r="H16" s="9">
        <v>98881.920465064206</v>
      </c>
      <c r="I16" s="9">
        <v>133521.84544524501</v>
      </c>
      <c r="J16" s="9">
        <v>179648.892982269</v>
      </c>
      <c r="K16" s="9">
        <v>227690.93868159899</v>
      </c>
      <c r="L16" s="9">
        <v>264653.201594554</v>
      </c>
      <c r="M16" s="9">
        <v>291387.79176862398</v>
      </c>
      <c r="N16" s="9">
        <v>297279.50882280502</v>
      </c>
      <c r="O16" s="9">
        <v>309927.84922452999</v>
      </c>
      <c r="P16" s="9">
        <v>341767.11343496601</v>
      </c>
      <c r="Q16" s="9">
        <v>367327.74958702299</v>
      </c>
      <c r="R16" s="9">
        <v>395129.83165257802</v>
      </c>
      <c r="S16" s="9">
        <v>454282.85119413299</v>
      </c>
      <c r="T16" s="9">
        <v>525091.72786953696</v>
      </c>
      <c r="U16" s="9">
        <v>610241.77713014395</v>
      </c>
      <c r="V16" s="9">
        <v>713805.33474912797</v>
      </c>
      <c r="W16" s="9">
        <v>865241.34333822795</v>
      </c>
      <c r="X16" s="9">
        <v>1041401.70747433</v>
      </c>
      <c r="Y16" s="9">
        <v>1157737.34151202</v>
      </c>
      <c r="Z16" s="9">
        <v>1386665.1467178999</v>
      </c>
      <c r="AA16" s="9">
        <v>1644817.2735909999</v>
      </c>
      <c r="AB16" s="9">
        <v>1811762.5431546001</v>
      </c>
      <c r="AC16" s="9">
        <v>1992036.1397517701</v>
      </c>
      <c r="AD16" s="9">
        <v>2198156.8193664099</v>
      </c>
      <c r="AE16" s="9">
        <v>2319127.2725028801</v>
      </c>
      <c r="AF16" s="9">
        <v>2509091.2487738901</v>
      </c>
      <c r="AG16" s="9">
        <v>2876636.1478358302</v>
      </c>
    </row>
    <row r="17" spans="1:33" x14ac:dyDescent="0.25">
      <c r="A17" s="8">
        <v>15</v>
      </c>
      <c r="B17" s="5" t="s">
        <v>17</v>
      </c>
      <c r="C17" s="9">
        <v>13428.913917039799</v>
      </c>
      <c r="D17" s="9">
        <v>17428.926092395399</v>
      </c>
      <c r="E17" s="9">
        <v>20189.531811668301</v>
      </c>
      <c r="F17" s="9">
        <v>21313.5735303857</v>
      </c>
      <c r="G17" s="9">
        <v>25453.9785797119</v>
      </c>
      <c r="H17" s="9">
        <v>32790.197834333798</v>
      </c>
      <c r="I17" s="9">
        <v>44337.354372040099</v>
      </c>
      <c r="J17" s="9">
        <v>59738.4779824219</v>
      </c>
      <c r="K17" s="9">
        <v>76229.976390608193</v>
      </c>
      <c r="L17" s="9">
        <v>88982.945442705197</v>
      </c>
      <c r="M17" s="9">
        <v>98400.764802414706</v>
      </c>
      <c r="N17" s="9">
        <v>108458.016074592</v>
      </c>
      <c r="O17" s="9">
        <v>121415.79396254801</v>
      </c>
      <c r="P17" s="9">
        <v>138890.55187865399</v>
      </c>
      <c r="Q17" s="9">
        <v>156927.30472352399</v>
      </c>
      <c r="R17" s="9">
        <v>177045.19034726001</v>
      </c>
      <c r="S17" s="9">
        <v>188590.12071048899</v>
      </c>
      <c r="T17" s="9">
        <v>200098.851213349</v>
      </c>
      <c r="U17" s="9">
        <v>228509.93284023899</v>
      </c>
      <c r="V17" s="9">
        <v>252187.632972583</v>
      </c>
      <c r="W17" s="9">
        <v>286886.17232028098</v>
      </c>
      <c r="X17" s="9">
        <v>342843.894406381</v>
      </c>
      <c r="Y17" s="9">
        <v>378552.000593587</v>
      </c>
      <c r="Z17" s="9">
        <v>437423.01261566899</v>
      </c>
      <c r="AA17" s="9">
        <v>508043.189145057</v>
      </c>
      <c r="AB17" s="9">
        <v>548046.80093833397</v>
      </c>
      <c r="AC17" s="9">
        <v>583821.578688854</v>
      </c>
      <c r="AD17" s="9">
        <v>624578.22101962997</v>
      </c>
      <c r="AE17" s="9">
        <v>642540.26003001805</v>
      </c>
      <c r="AF17" s="9">
        <v>676375.21942769003</v>
      </c>
      <c r="AG17" s="9">
        <v>754811.78718332294</v>
      </c>
    </row>
    <row r="18" spans="1:33" x14ac:dyDescent="0.25">
      <c r="A18" s="8">
        <v>16</v>
      </c>
      <c r="B18" s="5" t="s">
        <v>18</v>
      </c>
      <c r="C18" s="9">
        <v>32065.859838837299</v>
      </c>
      <c r="D18" s="9">
        <v>41579.180928479</v>
      </c>
      <c r="E18" s="9">
        <v>48123.744832193697</v>
      </c>
      <c r="F18" s="9">
        <v>53290.533054095999</v>
      </c>
      <c r="G18" s="9">
        <v>65053.264337830296</v>
      </c>
      <c r="H18" s="9">
        <v>85579.371119699703</v>
      </c>
      <c r="I18" s="9">
        <v>116047.11878468101</v>
      </c>
      <c r="J18" s="9">
        <v>156818.99596547001</v>
      </c>
      <c r="K18" s="9">
        <v>202526.587603897</v>
      </c>
      <c r="L18" s="9">
        <v>238218.12747972601</v>
      </c>
      <c r="M18" s="9">
        <v>265474.95527485502</v>
      </c>
      <c r="N18" s="9">
        <v>237765.79075882799</v>
      </c>
      <c r="O18" s="9">
        <v>213675.192168173</v>
      </c>
      <c r="P18" s="9">
        <v>218060.43260722299</v>
      </c>
      <c r="Q18" s="9">
        <v>204591.47163896999</v>
      </c>
      <c r="R18" s="9">
        <v>187997.019677248</v>
      </c>
      <c r="S18" s="9">
        <v>245627.95618048499</v>
      </c>
      <c r="T18" s="9">
        <v>319170.16785673198</v>
      </c>
      <c r="U18" s="9">
        <v>366110.92435754801</v>
      </c>
      <c r="V18" s="9">
        <v>450239.93306690501</v>
      </c>
      <c r="W18" s="9">
        <v>573147.36650110397</v>
      </c>
      <c r="X18" s="9">
        <v>681295.14004766196</v>
      </c>
      <c r="Y18" s="9">
        <v>748372.58605634596</v>
      </c>
      <c r="Z18" s="9">
        <v>911994.31785786396</v>
      </c>
      <c r="AA18" s="9">
        <v>1084511.52528003</v>
      </c>
      <c r="AB18" s="9">
        <v>1197509.4531469699</v>
      </c>
      <c r="AC18" s="9">
        <v>1326424.4333961301</v>
      </c>
      <c r="AD18" s="9">
        <v>1473899.56507357</v>
      </c>
      <c r="AE18" s="9">
        <v>1561734.66213467</v>
      </c>
      <c r="AF18" s="9">
        <v>1698521.10986357</v>
      </c>
      <c r="AG18" s="9">
        <v>1957061.51225263</v>
      </c>
    </row>
    <row r="19" spans="1:33" x14ac:dyDescent="0.25">
      <c r="A19" s="8">
        <v>17</v>
      </c>
      <c r="B19" s="5" t="s">
        <v>19</v>
      </c>
      <c r="C19" s="9">
        <v>34312.129063692701</v>
      </c>
      <c r="D19" s="9">
        <v>45762.119734358603</v>
      </c>
      <c r="E19" s="9">
        <v>54345.444862476499</v>
      </c>
      <c r="F19" s="9">
        <v>56555.118901552298</v>
      </c>
      <c r="G19" s="9">
        <v>67883.998146017897</v>
      </c>
      <c r="H19" s="9">
        <v>87880.522490260206</v>
      </c>
      <c r="I19" s="9">
        <v>106520.756979087</v>
      </c>
      <c r="J19" s="9">
        <v>126349.75707788501</v>
      </c>
      <c r="K19" s="9">
        <v>150805.58736066101</v>
      </c>
      <c r="L19" s="9">
        <v>156559.282709803</v>
      </c>
      <c r="M19" s="9">
        <v>151129.802855763</v>
      </c>
      <c r="N19" s="9">
        <v>190483.584289828</v>
      </c>
      <c r="O19" s="9">
        <v>236125.9967243</v>
      </c>
      <c r="P19" s="9">
        <v>269124.80271303002</v>
      </c>
      <c r="Q19" s="9">
        <v>316255.68210605101</v>
      </c>
      <c r="R19" s="9">
        <v>369282.74582965899</v>
      </c>
      <c r="S19" s="9">
        <v>451254.653323295</v>
      </c>
      <c r="T19" s="9">
        <v>553501.79677513498</v>
      </c>
      <c r="U19" s="9">
        <v>685785.94399236306</v>
      </c>
      <c r="V19" s="9">
        <v>850603.291128546</v>
      </c>
      <c r="W19" s="9">
        <v>1091364.7538598899</v>
      </c>
      <c r="X19" s="9">
        <v>1254942.5618006301</v>
      </c>
      <c r="Y19" s="9">
        <v>1333168.9643904599</v>
      </c>
      <c r="Z19" s="9">
        <v>1606122.2017681601</v>
      </c>
      <c r="AA19" s="9">
        <v>1868370.62716646</v>
      </c>
      <c r="AB19" s="9">
        <v>2018704.50653569</v>
      </c>
      <c r="AC19" s="9">
        <v>2091733.6672366399</v>
      </c>
      <c r="AD19" s="9">
        <v>2174228.8364366102</v>
      </c>
      <c r="AE19" s="9">
        <v>2205235.54627652</v>
      </c>
      <c r="AF19" s="9">
        <v>2269501.0634277598</v>
      </c>
      <c r="AG19" s="9">
        <v>2474153.2554047499</v>
      </c>
    </row>
    <row r="20" spans="1:33" x14ac:dyDescent="0.25">
      <c r="A20" s="8">
        <v>18</v>
      </c>
      <c r="B20" s="5" t="s">
        <v>20</v>
      </c>
      <c r="C20" s="9">
        <v>15381.595930200499</v>
      </c>
      <c r="D20" s="9">
        <v>18796.322515388601</v>
      </c>
      <c r="E20" s="9">
        <v>20506.584123262299</v>
      </c>
      <c r="F20" s="9">
        <v>22299.668889523498</v>
      </c>
      <c r="G20" s="9">
        <v>26235.6958037609</v>
      </c>
      <c r="H20" s="9">
        <v>33298.439764764596</v>
      </c>
      <c r="I20" s="9">
        <v>46386.409970808098</v>
      </c>
      <c r="J20" s="9">
        <v>64399.4835098818</v>
      </c>
      <c r="K20" s="9">
        <v>82792.557622945998</v>
      </c>
      <c r="L20" s="9">
        <v>98474.048877380003</v>
      </c>
      <c r="M20" s="9">
        <v>110964.268494894</v>
      </c>
      <c r="N20" s="9">
        <v>110556.941423329</v>
      </c>
      <c r="O20" s="9">
        <v>112519.279462933</v>
      </c>
      <c r="P20" s="9">
        <v>124028.62528896199</v>
      </c>
      <c r="Q20" s="9">
        <v>131649.52130574099</v>
      </c>
      <c r="R20" s="9">
        <v>139830.62734337701</v>
      </c>
      <c r="S20" s="9">
        <v>165161.30097536699</v>
      </c>
      <c r="T20" s="9">
        <v>196162.60494761201</v>
      </c>
      <c r="U20" s="9">
        <v>229675.08223084101</v>
      </c>
      <c r="V20" s="9">
        <v>273405.94241308898</v>
      </c>
      <c r="W20" s="9">
        <v>337327.62771943101</v>
      </c>
      <c r="X20" s="9">
        <v>395615.83288329397</v>
      </c>
      <c r="Y20" s="9">
        <v>428827.071007616</v>
      </c>
      <c r="Z20" s="9">
        <v>511613.850821089</v>
      </c>
      <c r="AA20" s="9">
        <v>598268.64077317505</v>
      </c>
      <c r="AB20" s="9">
        <v>649806.32374013902</v>
      </c>
      <c r="AC20" s="9">
        <v>729000.04227551399</v>
      </c>
      <c r="AD20" s="9">
        <v>819662.56528113305</v>
      </c>
      <c r="AE20" s="9">
        <v>866832.30817530595</v>
      </c>
      <c r="AF20" s="9">
        <v>947011.14724704903</v>
      </c>
      <c r="AG20" s="9">
        <v>1095810.2797105999</v>
      </c>
    </row>
    <row r="21" spans="1:33" x14ac:dyDescent="0.25">
      <c r="A21" s="8">
        <v>19</v>
      </c>
      <c r="B21" s="5" t="s">
        <v>21</v>
      </c>
      <c r="C21" s="9">
        <v>53451.107455323203</v>
      </c>
      <c r="D21" s="9">
        <v>65083.3765661992</v>
      </c>
      <c r="E21" s="9">
        <v>70735.5248897821</v>
      </c>
      <c r="F21" s="9">
        <v>76556.081744928393</v>
      </c>
      <c r="G21" s="9">
        <v>89677.370819843505</v>
      </c>
      <c r="H21" s="9">
        <v>113318.43790429</v>
      </c>
      <c r="I21" s="9">
        <v>148834.20107896099</v>
      </c>
      <c r="J21" s="9">
        <v>194408.67945295299</v>
      </c>
      <c r="K21" s="9">
        <v>241541.917378424</v>
      </c>
      <c r="L21" s="9">
        <v>273307.72217283602</v>
      </c>
      <c r="M21" s="9">
        <v>292470.85817542602</v>
      </c>
      <c r="N21" s="9">
        <v>293592.07460261701</v>
      </c>
      <c r="O21" s="9">
        <v>301127.42273208301</v>
      </c>
      <c r="P21" s="9">
        <v>324227.57995822001</v>
      </c>
      <c r="Q21" s="9">
        <v>341312.87373885</v>
      </c>
      <c r="R21" s="9">
        <v>359428.64225352101</v>
      </c>
      <c r="S21" s="9">
        <v>421353.76764938101</v>
      </c>
      <c r="T21" s="9">
        <v>496734.91975527199</v>
      </c>
      <c r="U21" s="9">
        <v>576858.60627838096</v>
      </c>
      <c r="V21" s="9">
        <v>681357.95852353203</v>
      </c>
      <c r="W21" s="9">
        <v>834129.21269455296</v>
      </c>
      <c r="X21" s="9">
        <v>975675.92740577401</v>
      </c>
      <c r="Y21" s="9">
        <v>1054777.0477447601</v>
      </c>
      <c r="Z21" s="9">
        <v>1251824.58578374</v>
      </c>
      <c r="AA21" s="9">
        <v>1458061.1832174601</v>
      </c>
      <c r="AB21" s="9">
        <v>1577384.3498027599</v>
      </c>
      <c r="AC21" s="9">
        <v>1637658.48955787</v>
      </c>
      <c r="AD21" s="9">
        <v>1705814.73315322</v>
      </c>
      <c r="AE21" s="9">
        <v>1733269.2116443701</v>
      </c>
      <c r="AF21" s="9">
        <v>1787551.3912084501</v>
      </c>
      <c r="AG21" s="9">
        <v>1953097.2191844101</v>
      </c>
    </row>
    <row r="22" spans="1:33" x14ac:dyDescent="0.25">
      <c r="A22" s="8">
        <v>20</v>
      </c>
      <c r="B22" s="5" t="s">
        <v>22</v>
      </c>
      <c r="C22" s="9">
        <v>17207.513424773999</v>
      </c>
      <c r="D22" s="9">
        <v>21125.846601845398</v>
      </c>
      <c r="E22" s="9">
        <v>23161.363801944601</v>
      </c>
      <c r="F22" s="9">
        <v>25265.148582704402</v>
      </c>
      <c r="G22" s="9">
        <v>29844.625074115698</v>
      </c>
      <c r="H22" s="9">
        <v>38032.3867421166</v>
      </c>
      <c r="I22" s="9">
        <v>52040.387540541298</v>
      </c>
      <c r="J22" s="9">
        <v>70975.082986269495</v>
      </c>
      <c r="K22" s="9">
        <v>90620.749918356203</v>
      </c>
      <c r="L22" s="9">
        <v>106471.917679875</v>
      </c>
      <c r="M22" s="9">
        <v>118520.93471470699</v>
      </c>
      <c r="N22" s="9">
        <v>122197.619227752</v>
      </c>
      <c r="O22" s="9">
        <v>128720.73871075601</v>
      </c>
      <c r="P22" s="9">
        <v>143465.759317394</v>
      </c>
      <c r="Q22" s="9">
        <v>155801.28953031599</v>
      </c>
      <c r="R22" s="9">
        <v>169323.390723827</v>
      </c>
      <c r="S22" s="9">
        <v>200717.16863832099</v>
      </c>
      <c r="T22" s="9">
        <v>239230.86348558101</v>
      </c>
      <c r="U22" s="9">
        <v>283738.08799793199</v>
      </c>
      <c r="V22" s="9">
        <v>340476.95883858303</v>
      </c>
      <c r="W22" s="9">
        <v>423400.40003424801</v>
      </c>
      <c r="X22" s="9">
        <v>500304.15327349398</v>
      </c>
      <c r="Y22" s="9">
        <v>546363.84548822697</v>
      </c>
      <c r="Z22" s="9">
        <v>656744.36106189096</v>
      </c>
      <c r="AA22" s="9">
        <v>773666.53833497304</v>
      </c>
      <c r="AB22" s="9">
        <v>846480.16925900301</v>
      </c>
      <c r="AC22" s="9">
        <v>907425.69152094203</v>
      </c>
      <c r="AD22" s="9">
        <v>976926.42905537901</v>
      </c>
      <c r="AE22" s="9">
        <v>1015394.35451433</v>
      </c>
      <c r="AF22" s="9">
        <v>1077804.18837902</v>
      </c>
      <c r="AG22" s="9">
        <v>1212884.8160222501</v>
      </c>
    </row>
    <row r="23" spans="1:33" x14ac:dyDescent="0.25">
      <c r="A23" s="8">
        <v>21</v>
      </c>
      <c r="B23" s="5" t="s">
        <v>23</v>
      </c>
      <c r="C23" s="9">
        <v>10743.2660623134</v>
      </c>
      <c r="D23" s="9">
        <v>13388.3046002913</v>
      </c>
      <c r="E23" s="9">
        <v>14906.330968586</v>
      </c>
      <c r="F23" s="9">
        <v>16367.6201872699</v>
      </c>
      <c r="G23" s="9">
        <v>19544.483188603299</v>
      </c>
      <c r="H23" s="9">
        <v>25174.052755868899</v>
      </c>
      <c r="I23" s="9">
        <v>38676.2010496086</v>
      </c>
      <c r="J23" s="9">
        <v>58580.970694526899</v>
      </c>
      <c r="K23" s="9">
        <v>78870.598253402495</v>
      </c>
      <c r="L23" s="9">
        <v>99517.647276153701</v>
      </c>
      <c r="M23" s="9">
        <v>118468.570377317</v>
      </c>
      <c r="N23" s="9">
        <v>138829.95273003099</v>
      </c>
      <c r="O23" s="9">
        <v>163316.45242011701</v>
      </c>
      <c r="P23" s="9">
        <v>195948.76425521501</v>
      </c>
      <c r="Q23" s="9">
        <v>230178.16171958501</v>
      </c>
      <c r="R23" s="9">
        <v>268687.32777863799</v>
      </c>
      <c r="S23" s="9">
        <v>307035.35967198497</v>
      </c>
      <c r="T23" s="9">
        <v>352649.912634696</v>
      </c>
      <c r="U23" s="9">
        <v>425506.78908078099</v>
      </c>
      <c r="V23" s="9">
        <v>505666.68937892898</v>
      </c>
      <c r="W23" s="9">
        <v>622840.77854253701</v>
      </c>
      <c r="X23" s="9">
        <v>718916.82089270104</v>
      </c>
      <c r="Y23" s="9">
        <v>766742.28735362599</v>
      </c>
      <c r="Z23" s="9">
        <v>906574.86931905104</v>
      </c>
      <c r="AA23" s="9">
        <v>1046630.40958177</v>
      </c>
      <c r="AB23" s="9">
        <v>1122155.67044853</v>
      </c>
      <c r="AC23" s="9">
        <v>1215747.3086632399</v>
      </c>
      <c r="AD23" s="9">
        <v>1322615.8566898401</v>
      </c>
      <c r="AE23" s="9">
        <v>1368104.9504550199</v>
      </c>
      <c r="AF23" s="9">
        <v>1456249.6441043599</v>
      </c>
      <c r="AG23" s="9">
        <v>1643300.70745048</v>
      </c>
    </row>
    <row r="24" spans="1:33" x14ac:dyDescent="0.25">
      <c r="A24" s="8">
        <v>22</v>
      </c>
      <c r="B24" s="5" t="s">
        <v>24</v>
      </c>
      <c r="C24" s="9">
        <v>3287.4493293927599</v>
      </c>
      <c r="D24" s="9">
        <v>4056.7008037106698</v>
      </c>
      <c r="E24" s="9">
        <v>4471.2893771829204</v>
      </c>
      <c r="F24" s="9">
        <v>4631.2026196746601</v>
      </c>
      <c r="G24" s="9">
        <v>5340.6078130426204</v>
      </c>
      <c r="H24" s="9">
        <v>6640.1753711799201</v>
      </c>
      <c r="I24" s="9">
        <v>9584.2739460645007</v>
      </c>
      <c r="J24" s="9">
        <v>13758.6897112279</v>
      </c>
      <c r="K24" s="9">
        <v>17809.139241403202</v>
      </c>
      <c r="L24" s="9">
        <v>21589.981886773799</v>
      </c>
      <c r="M24" s="9">
        <v>24780.3442896778</v>
      </c>
      <c r="N24" s="9">
        <v>26746.611763563302</v>
      </c>
      <c r="O24" s="9">
        <v>29399.870493187402</v>
      </c>
      <c r="P24" s="9">
        <v>33881.665746815001</v>
      </c>
      <c r="Q24" s="9">
        <v>38102.808393138097</v>
      </c>
      <c r="R24" s="9">
        <v>42804.273617271101</v>
      </c>
      <c r="S24" s="9">
        <v>48773.997520254801</v>
      </c>
      <c r="T24" s="9">
        <v>55852.318675989802</v>
      </c>
      <c r="U24" s="9">
        <v>66062.537301004006</v>
      </c>
      <c r="V24" s="9">
        <v>77604.922511448196</v>
      </c>
      <c r="W24" s="9">
        <v>94481.136505471004</v>
      </c>
      <c r="X24" s="9">
        <v>107803.26058795799</v>
      </c>
      <c r="Y24" s="9">
        <v>113594.793193417</v>
      </c>
      <c r="Z24" s="9">
        <v>132644.07073655099</v>
      </c>
      <c r="AA24" s="9">
        <v>151162.474085936</v>
      </c>
      <c r="AB24" s="9">
        <v>159902.43320098001</v>
      </c>
      <c r="AC24" s="9">
        <v>177839.71379266301</v>
      </c>
      <c r="AD24" s="9">
        <v>198364.71579966601</v>
      </c>
      <c r="AE24" s="9">
        <v>206443.10523948399</v>
      </c>
      <c r="AF24" s="9">
        <v>223050.73585726801</v>
      </c>
      <c r="AG24" s="9">
        <v>255392.17442440201</v>
      </c>
    </row>
    <row r="25" spans="1:33" x14ac:dyDescent="0.25">
      <c r="A25" s="8">
        <v>23</v>
      </c>
      <c r="B25" s="5" t="s">
        <v>25</v>
      </c>
      <c r="C25" s="9">
        <v>11712.4353161453</v>
      </c>
      <c r="D25" s="9">
        <v>17120.018623905198</v>
      </c>
      <c r="E25" s="9">
        <v>21914.994602717001</v>
      </c>
      <c r="F25" s="9">
        <v>23550.365312147602</v>
      </c>
      <c r="G25" s="9">
        <v>29634.1705775136</v>
      </c>
      <c r="H25" s="9">
        <v>40075.972033273298</v>
      </c>
      <c r="I25" s="9">
        <v>54906.788272582198</v>
      </c>
      <c r="J25" s="9">
        <v>74981.105513869305</v>
      </c>
      <c r="K25" s="9">
        <v>98588.685234910605</v>
      </c>
      <c r="L25" s="9">
        <v>117603.53259149101</v>
      </c>
      <c r="M25" s="9">
        <v>132898.632544358</v>
      </c>
      <c r="N25" s="9">
        <v>147625.27127738099</v>
      </c>
      <c r="O25" s="9">
        <v>166357.029151856</v>
      </c>
      <c r="P25" s="9">
        <v>192558.83460514099</v>
      </c>
      <c r="Q25" s="9">
        <v>219262.77647815499</v>
      </c>
      <c r="R25" s="9">
        <v>249111.73724711599</v>
      </c>
      <c r="S25" s="9">
        <v>287778.89926573099</v>
      </c>
      <c r="T25" s="9">
        <v>334277.503263083</v>
      </c>
      <c r="U25" s="9">
        <v>400156.78593745403</v>
      </c>
      <c r="V25" s="9">
        <v>476329.30175439001</v>
      </c>
      <c r="W25" s="9">
        <v>587671.251172513</v>
      </c>
      <c r="X25" s="9">
        <v>716047.04792661301</v>
      </c>
      <c r="Y25" s="9">
        <v>805262.71941482194</v>
      </c>
      <c r="Z25" s="9">
        <v>977894.74662876304</v>
      </c>
      <c r="AA25" s="9">
        <v>1173800.56924287</v>
      </c>
      <c r="AB25" s="9">
        <v>1307750.2221270499</v>
      </c>
      <c r="AC25" s="9">
        <v>1421863.4267506099</v>
      </c>
      <c r="AD25" s="9">
        <v>1552212.0087566001</v>
      </c>
      <c r="AE25" s="9">
        <v>1638121.36199664</v>
      </c>
      <c r="AF25" s="9">
        <v>1763593.29696741</v>
      </c>
      <c r="AG25" s="9">
        <v>2012368.89524534</v>
      </c>
    </row>
    <row r="26" spans="1:33" x14ac:dyDescent="0.25">
      <c r="A26" s="8">
        <v>24</v>
      </c>
      <c r="B26" s="5" t="s">
        <v>26</v>
      </c>
      <c r="C26" s="9">
        <v>11152.412845561001</v>
      </c>
      <c r="D26" s="9">
        <v>15205.952646592999</v>
      </c>
      <c r="E26" s="9">
        <v>18408.776394747099</v>
      </c>
      <c r="F26" s="9">
        <v>20882.6640685362</v>
      </c>
      <c r="G26" s="9">
        <v>26259.512880928</v>
      </c>
      <c r="H26" s="9">
        <v>35490.943522899099</v>
      </c>
      <c r="I26" s="9">
        <v>52191.914780323401</v>
      </c>
      <c r="J26" s="9">
        <v>76185.551941554295</v>
      </c>
      <c r="K26" s="9">
        <v>102939.27722166201</v>
      </c>
      <c r="L26" s="9">
        <v>128113.324274912</v>
      </c>
      <c r="M26" s="9">
        <v>150656.02684835001</v>
      </c>
      <c r="N26" s="9">
        <v>146981.39901363701</v>
      </c>
      <c r="O26" s="9">
        <v>146284.61678840901</v>
      </c>
      <c r="P26" s="9">
        <v>163059.569661844</v>
      </c>
      <c r="Q26" s="9">
        <v>172067.57390313401</v>
      </c>
      <c r="R26" s="9">
        <v>181657.39087674199</v>
      </c>
      <c r="S26" s="9">
        <v>225198.978932989</v>
      </c>
      <c r="T26" s="9">
        <v>279845.58773516503</v>
      </c>
      <c r="U26" s="9">
        <v>334131.37464819697</v>
      </c>
      <c r="V26" s="9">
        <v>410072.91881106602</v>
      </c>
      <c r="W26" s="9">
        <v>521022.06631914701</v>
      </c>
      <c r="X26" s="9">
        <v>551510.51892970095</v>
      </c>
      <c r="Y26" s="9">
        <v>533218.81743070798</v>
      </c>
      <c r="Z26" s="9">
        <v>609381.58099697996</v>
      </c>
      <c r="AA26" s="9">
        <v>652021.24235147901</v>
      </c>
      <c r="AB26" s="9">
        <v>642495.88578743301</v>
      </c>
      <c r="AC26" s="9">
        <v>722609.56242649595</v>
      </c>
      <c r="AD26" s="9">
        <v>814336.89136152796</v>
      </c>
      <c r="AE26" s="9">
        <v>822993.26796396705</v>
      </c>
      <c r="AF26" s="9">
        <v>881161.59118857095</v>
      </c>
      <c r="AG26" s="9">
        <v>1000086.44294554</v>
      </c>
    </row>
    <row r="27" spans="1:33" x14ac:dyDescent="0.25">
      <c r="A27" s="8">
        <v>25</v>
      </c>
      <c r="B27" s="5" t="s">
        <v>27</v>
      </c>
      <c r="C27" s="9">
        <v>23960.195287683899</v>
      </c>
      <c r="D27" s="9">
        <v>31301.048053415601</v>
      </c>
      <c r="E27" s="9">
        <v>36486.4863988215</v>
      </c>
      <c r="F27" s="9">
        <v>39089.730461312</v>
      </c>
      <c r="G27" s="9">
        <v>47148.909258989202</v>
      </c>
      <c r="H27" s="9">
        <v>61321.747933815401</v>
      </c>
      <c r="I27" s="9">
        <v>82594.431219192105</v>
      </c>
      <c r="J27" s="9">
        <v>110829.204720585</v>
      </c>
      <c r="K27" s="9">
        <v>141835.51135471801</v>
      </c>
      <c r="L27" s="9">
        <v>165457.445997501</v>
      </c>
      <c r="M27" s="9">
        <v>182845.91954764901</v>
      </c>
      <c r="N27" s="9">
        <v>217921.276312334</v>
      </c>
      <c r="O27" s="9">
        <v>260818.194037254</v>
      </c>
      <c r="P27" s="9">
        <v>307622.79811062501</v>
      </c>
      <c r="Q27" s="9">
        <v>362631.55410508899</v>
      </c>
      <c r="R27" s="9">
        <v>425502.90494408098</v>
      </c>
      <c r="S27" s="9">
        <v>471714.16429208498</v>
      </c>
      <c r="T27" s="9">
        <v>583325.94423817203</v>
      </c>
      <c r="U27" s="9">
        <v>685875.42902021296</v>
      </c>
      <c r="V27" s="9">
        <v>809658.69206594804</v>
      </c>
      <c r="W27" s="9">
        <v>970998.14376058197</v>
      </c>
      <c r="X27" s="9">
        <v>818246.23018254095</v>
      </c>
      <c r="Y27" s="9">
        <v>857269.74275314796</v>
      </c>
      <c r="Z27" s="9">
        <v>971985.00191734498</v>
      </c>
      <c r="AA27" s="9">
        <v>1238980</v>
      </c>
      <c r="AB27" s="9">
        <v>1400600</v>
      </c>
      <c r="AC27" s="9">
        <v>1500220</v>
      </c>
      <c r="AD27" s="9">
        <v>1481900</v>
      </c>
      <c r="AE27" s="9">
        <v>1498170</v>
      </c>
      <c r="AF27" s="9">
        <v>1532800</v>
      </c>
      <c r="AG27" s="9">
        <v>1679720.6035035599</v>
      </c>
    </row>
    <row r="28" spans="1:33" x14ac:dyDescent="0.25">
      <c r="A28" s="8">
        <v>26</v>
      </c>
      <c r="B28" s="5" t="s">
        <v>28</v>
      </c>
      <c r="C28" s="9">
        <v>66749.999999999898</v>
      </c>
      <c r="D28" s="9">
        <v>81180.000000000102</v>
      </c>
      <c r="E28" s="9">
        <v>79610</v>
      </c>
      <c r="F28" s="9">
        <v>86169.999999999898</v>
      </c>
      <c r="G28" s="9">
        <v>101770</v>
      </c>
      <c r="H28" s="9">
        <v>141790</v>
      </c>
      <c r="I28" s="9">
        <v>226990</v>
      </c>
      <c r="J28" s="9">
        <v>296880</v>
      </c>
      <c r="K28" s="9">
        <v>373370</v>
      </c>
      <c r="L28" s="9">
        <v>439300</v>
      </c>
      <c r="M28" s="9">
        <v>462830</v>
      </c>
      <c r="N28" s="9">
        <v>499300</v>
      </c>
      <c r="O28" s="9">
        <v>518090.00000000099</v>
      </c>
      <c r="P28" s="9">
        <v>553400</v>
      </c>
      <c r="Q28" s="9">
        <v>594550</v>
      </c>
      <c r="R28" s="9">
        <v>648210</v>
      </c>
      <c r="S28" s="9">
        <v>751080.00000000105</v>
      </c>
      <c r="T28" s="9">
        <v>869428.27456461499</v>
      </c>
      <c r="U28" s="9">
        <v>1040050</v>
      </c>
      <c r="V28" s="9">
        <v>1245010</v>
      </c>
      <c r="W28" s="9">
        <v>1534800</v>
      </c>
      <c r="X28" s="9">
        <v>1880760</v>
      </c>
      <c r="Y28" s="9">
        <v>2268150</v>
      </c>
      <c r="Z28" s="9">
        <v>2725930</v>
      </c>
      <c r="AA28" s="9">
        <v>3292650</v>
      </c>
      <c r="AB28" s="9">
        <v>3689610</v>
      </c>
      <c r="AC28" s="9">
        <v>4089680</v>
      </c>
      <c r="AD28" s="9">
        <v>4488050</v>
      </c>
      <c r="AE28" s="9">
        <v>4662670</v>
      </c>
      <c r="AF28" s="9">
        <v>4970289.9999999898</v>
      </c>
      <c r="AG28" s="9">
        <v>5531380</v>
      </c>
    </row>
    <row r="29" spans="1:33" x14ac:dyDescent="0.25">
      <c r="A29" s="8">
        <v>27</v>
      </c>
      <c r="B29" s="5" t="s">
        <v>29</v>
      </c>
      <c r="C29" s="9">
        <v>109853.84071003299</v>
      </c>
      <c r="D29" s="9">
        <v>150967.911426001</v>
      </c>
      <c r="E29" s="9">
        <v>157674.126305418</v>
      </c>
      <c r="F29" s="9">
        <v>137565.55802424499</v>
      </c>
      <c r="G29" s="9">
        <v>199459.25238941499</v>
      </c>
      <c r="H29" s="9">
        <v>261965.85527622301</v>
      </c>
      <c r="I29" s="9">
        <v>303733.13110586401</v>
      </c>
      <c r="J29" s="9">
        <v>404187.40521325398</v>
      </c>
      <c r="K29" s="9">
        <v>500784.03627152799</v>
      </c>
      <c r="L29" s="9">
        <v>572986.10611165001</v>
      </c>
      <c r="M29" s="9">
        <v>642515.98807715799</v>
      </c>
      <c r="N29" s="9">
        <v>699783.12119497405</v>
      </c>
      <c r="O29" s="9">
        <v>749115.10712397203</v>
      </c>
      <c r="P29" s="9">
        <v>807233.35505940299</v>
      </c>
      <c r="Q29" s="9">
        <v>890289.141310298</v>
      </c>
      <c r="R29" s="9">
        <v>969735.787825746</v>
      </c>
      <c r="S29" s="9">
        <v>1091638.6838312999</v>
      </c>
      <c r="T29" s="9">
        <v>1232876.6707953101</v>
      </c>
      <c r="U29" s="9">
        <v>1380777.9374738301</v>
      </c>
      <c r="V29" s="9">
        <v>1617546.6647200901</v>
      </c>
      <c r="W29" s="9">
        <v>2004725.20800345</v>
      </c>
      <c r="X29" s="9">
        <v>2551507.5864485698</v>
      </c>
      <c r="Y29" s="9">
        <v>2872977.7026047502</v>
      </c>
      <c r="Z29" s="9">
        <v>3527030.6498480099</v>
      </c>
      <c r="AA29" s="9">
        <v>4309200.0409166301</v>
      </c>
      <c r="AB29" s="9">
        <v>4983098.2644335805</v>
      </c>
      <c r="AC29" s="9">
        <v>5572445.9503713604</v>
      </c>
      <c r="AD29" s="9">
        <v>6153310.38308289</v>
      </c>
      <c r="AE29" s="9">
        <v>6605295.9130780902</v>
      </c>
      <c r="AF29" s="9">
        <v>7159824.1924467096</v>
      </c>
      <c r="AG29" s="9">
        <v>7835752.4346992001</v>
      </c>
    </row>
    <row r="30" spans="1:33" x14ac:dyDescent="0.25">
      <c r="A30" s="8">
        <v>28</v>
      </c>
      <c r="B30" s="5" t="s">
        <v>30</v>
      </c>
      <c r="C30" s="9">
        <v>14816.159289966999</v>
      </c>
      <c r="D30" s="9">
        <v>21512.088573999001</v>
      </c>
      <c r="E30" s="9">
        <v>23685.8736945823</v>
      </c>
      <c r="F30" s="9">
        <v>19514.441975754999</v>
      </c>
      <c r="G30" s="9">
        <v>28230.747610584898</v>
      </c>
      <c r="H30" s="9">
        <v>36994.144723777099</v>
      </c>
      <c r="I30" s="9">
        <v>49136.868894136198</v>
      </c>
      <c r="J30" s="9">
        <v>74002.594786745802</v>
      </c>
      <c r="K30" s="9">
        <v>97085.963728472096</v>
      </c>
      <c r="L30" s="9">
        <v>120663.89388834999</v>
      </c>
      <c r="M30" s="9">
        <v>146354.01192284201</v>
      </c>
      <c r="N30" s="9">
        <v>170226.87880502499</v>
      </c>
      <c r="O30" s="9">
        <v>194114.892876028</v>
      </c>
      <c r="P30" s="9">
        <v>223256.64494059701</v>
      </c>
      <c r="Q30" s="9">
        <v>261660.858689702</v>
      </c>
      <c r="R30" s="9">
        <v>302284.212174254</v>
      </c>
      <c r="S30" s="9">
        <v>337921.31616870197</v>
      </c>
      <c r="T30" s="9">
        <v>378983.04599601001</v>
      </c>
      <c r="U30" s="9">
        <v>435412.06252617401</v>
      </c>
      <c r="V30" s="9">
        <v>514783.335279905</v>
      </c>
      <c r="W30" s="9">
        <v>643864.79199655203</v>
      </c>
      <c r="X30" s="9">
        <v>728332.41355142999</v>
      </c>
      <c r="Y30" s="9">
        <v>722872.29739524995</v>
      </c>
      <c r="Z30" s="9">
        <v>834609.35015198996</v>
      </c>
      <c r="AA30" s="9">
        <v>920389.95908337401</v>
      </c>
      <c r="AB30" s="9">
        <v>953691.73556641897</v>
      </c>
      <c r="AC30" s="9">
        <v>1078794.0496286401</v>
      </c>
      <c r="AD30" s="9">
        <v>1204889.61691711</v>
      </c>
      <c r="AE30" s="9">
        <v>1228744.0869219101</v>
      </c>
      <c r="AF30" s="9">
        <v>1305055.8075532899</v>
      </c>
      <c r="AG30" s="9">
        <v>1399067.5653007999</v>
      </c>
    </row>
    <row r="31" spans="1:33" x14ac:dyDescent="0.25">
      <c r="A31" s="8">
        <v>29</v>
      </c>
      <c r="B31" s="5" t="s">
        <v>31</v>
      </c>
      <c r="C31" s="9">
        <v>54693.201151154601</v>
      </c>
      <c r="D31" s="9">
        <v>65611.050692007804</v>
      </c>
      <c r="E31" s="9">
        <v>78151.5174169073</v>
      </c>
      <c r="F31" s="9">
        <v>111638.164299474</v>
      </c>
      <c r="G31" s="9">
        <v>136453.21094550501</v>
      </c>
      <c r="H31" s="9">
        <v>163332.525206811</v>
      </c>
      <c r="I31" s="9">
        <v>202502.07494855</v>
      </c>
      <c r="J31" s="9">
        <v>250235.20326901099</v>
      </c>
      <c r="K31" s="9">
        <v>287371.74317865999</v>
      </c>
      <c r="L31" s="9">
        <v>324756.63192100503</v>
      </c>
      <c r="M31" s="9">
        <v>349219.03960583499</v>
      </c>
      <c r="N31" s="9">
        <v>401223.72144427802</v>
      </c>
      <c r="O31" s="9">
        <v>455268.28944424703</v>
      </c>
      <c r="P31" s="9">
        <v>535410.79795459495</v>
      </c>
      <c r="Q31" s="9">
        <v>607171.70972940396</v>
      </c>
      <c r="R31" s="9">
        <v>673363.98085592501</v>
      </c>
      <c r="S31" s="9">
        <v>746784.50330419501</v>
      </c>
      <c r="T31" s="9">
        <v>900279.71785113798</v>
      </c>
      <c r="U31" s="9">
        <v>1036814.71000253</v>
      </c>
      <c r="V31" s="9">
        <v>1192025.2556129</v>
      </c>
      <c r="W31" s="9">
        <v>1429400.20999073</v>
      </c>
      <c r="X31" s="9">
        <v>1583049.5207857401</v>
      </c>
      <c r="Y31" s="9">
        <v>1571018.04674049</v>
      </c>
      <c r="Z31" s="9">
        <v>1748493.3458191201</v>
      </c>
      <c r="AA31" s="9">
        <v>1990055.5921566901</v>
      </c>
      <c r="AB31" s="9">
        <v>2164683.3878851202</v>
      </c>
      <c r="AC31" s="9">
        <v>2353017.35901656</v>
      </c>
      <c r="AD31" s="9">
        <v>2562501.3277628901</v>
      </c>
      <c r="AE31" s="9">
        <v>2758164.5956774401</v>
      </c>
      <c r="AF31" s="9">
        <v>3010446.3445234499</v>
      </c>
      <c r="AG31" s="9">
        <v>3390580.9146635099</v>
      </c>
    </row>
    <row r="32" spans="1:33" x14ac:dyDescent="0.25">
      <c r="A32" s="8">
        <v>30</v>
      </c>
      <c r="B32" s="5" t="s">
        <v>32</v>
      </c>
      <c r="C32" s="9">
        <v>4095.0570843116102</v>
      </c>
      <c r="D32" s="9">
        <v>5319.7264542268103</v>
      </c>
      <c r="E32" s="9">
        <v>6827.1851136018004</v>
      </c>
      <c r="F32" s="9">
        <v>10406.0491931418</v>
      </c>
      <c r="G32" s="9">
        <v>13560.8930787438</v>
      </c>
      <c r="H32" s="9">
        <v>17251.2239435191</v>
      </c>
      <c r="I32" s="9">
        <v>33540.836449711103</v>
      </c>
      <c r="J32" s="9">
        <v>58187.821684287897</v>
      </c>
      <c r="K32" s="9">
        <v>78479.396714148796</v>
      </c>
      <c r="L32" s="9">
        <v>108668.04754908899</v>
      </c>
      <c r="M32" s="9">
        <v>140519.30224098099</v>
      </c>
      <c r="N32" s="9">
        <v>161964.52559930299</v>
      </c>
      <c r="O32" s="9">
        <v>184371.60318777399</v>
      </c>
      <c r="P32" s="9">
        <v>236826.221804395</v>
      </c>
      <c r="Q32" s="9">
        <v>280792.88622876903</v>
      </c>
      <c r="R32" s="9">
        <v>325345.73205055902</v>
      </c>
      <c r="S32" s="9">
        <v>347997.32543329598</v>
      </c>
      <c r="T32" s="9">
        <v>404420.84702679398</v>
      </c>
      <c r="U32" s="9">
        <v>467551.44020652497</v>
      </c>
      <c r="V32" s="9">
        <v>528714.25245794095</v>
      </c>
      <c r="W32" s="9">
        <v>623520.157763027</v>
      </c>
      <c r="X32" s="9">
        <v>748080.14286523103</v>
      </c>
      <c r="Y32" s="9">
        <v>802458.74596856395</v>
      </c>
      <c r="Z32" s="9">
        <v>920630.75834348297</v>
      </c>
      <c r="AA32" s="9">
        <v>1104530.9403367101</v>
      </c>
      <c r="AB32" s="9">
        <v>1265488.00468475</v>
      </c>
      <c r="AC32" s="9">
        <v>1464214.94740127</v>
      </c>
      <c r="AD32" s="9">
        <v>1695786.5191949999</v>
      </c>
      <c r="AE32" s="9">
        <v>1929086.76429808</v>
      </c>
      <c r="AF32" s="9">
        <v>2230128.7212445498</v>
      </c>
      <c r="AG32" s="9">
        <v>2659063.0898533198</v>
      </c>
    </row>
    <row r="33" spans="1:33" x14ac:dyDescent="0.25">
      <c r="A33" s="8">
        <v>31</v>
      </c>
      <c r="B33" s="5" t="s">
        <v>33</v>
      </c>
      <c r="C33" s="9">
        <v>52448.919758841497</v>
      </c>
      <c r="D33" s="9">
        <v>60054.4740371968</v>
      </c>
      <c r="E33" s="9">
        <v>74976.535804856903</v>
      </c>
      <c r="F33" s="9">
        <v>81848.132684505297</v>
      </c>
      <c r="G33" s="9">
        <v>85755.595829288097</v>
      </c>
      <c r="H33" s="9">
        <v>105431.646061696</v>
      </c>
      <c r="I33" s="9">
        <v>133117.507147392</v>
      </c>
      <c r="J33" s="9">
        <v>200527.32669248799</v>
      </c>
      <c r="K33" s="9">
        <v>248355.22611188999</v>
      </c>
      <c r="L33" s="9">
        <v>287455.26852087001</v>
      </c>
      <c r="M33" s="9">
        <v>335228.68407899502</v>
      </c>
      <c r="N33" s="9">
        <v>358539.09312892699</v>
      </c>
      <c r="O33" s="9">
        <v>370286.51397787698</v>
      </c>
      <c r="P33" s="9">
        <v>402663.40048234299</v>
      </c>
      <c r="Q33" s="9">
        <v>444063.98198812298</v>
      </c>
      <c r="R33" s="9">
        <v>472669.54325238802</v>
      </c>
      <c r="S33" s="9">
        <v>586870.21204902104</v>
      </c>
      <c r="T33" s="9">
        <v>684076.92667995405</v>
      </c>
      <c r="U33" s="9">
        <v>870646.13630279305</v>
      </c>
      <c r="V33" s="9">
        <v>1111803.49835672</v>
      </c>
      <c r="W33" s="9">
        <v>1543381.1358504901</v>
      </c>
      <c r="X33" s="9">
        <v>1768380.9408598901</v>
      </c>
      <c r="Y33" s="9">
        <v>2124014.04706081</v>
      </c>
      <c r="Z33" s="9">
        <v>2601944.4223312801</v>
      </c>
      <c r="AA33" s="9">
        <v>3118165.0969095002</v>
      </c>
      <c r="AB33" s="9">
        <v>3567766.29396187</v>
      </c>
      <c r="AC33" s="9">
        <v>3965512.7168351901</v>
      </c>
      <c r="AD33" s="9">
        <v>4223192.1414199099</v>
      </c>
      <c r="AE33" s="9">
        <v>4793264.1296031997</v>
      </c>
      <c r="AF33" s="9">
        <v>5156088.7073444296</v>
      </c>
      <c r="AG33" s="9">
        <v>5537354.8775699995</v>
      </c>
    </row>
    <row r="34" spans="1:33" x14ac:dyDescent="0.25">
      <c r="A34" s="8">
        <v>32</v>
      </c>
      <c r="B34" s="5" t="s">
        <v>34</v>
      </c>
      <c r="C34" s="9">
        <v>17056.938096037698</v>
      </c>
      <c r="D34" s="9">
        <v>22963.4540007947</v>
      </c>
      <c r="E34" s="9">
        <v>33560.862783706201</v>
      </c>
      <c r="F34" s="9">
        <v>39116.552224520499</v>
      </c>
      <c r="G34" s="9">
        <v>45516.3223389841</v>
      </c>
      <c r="H34" s="9">
        <v>61941.727263146298</v>
      </c>
      <c r="I34" s="9">
        <v>78027.558635312802</v>
      </c>
      <c r="J34" s="9">
        <v>117272.187152307</v>
      </c>
      <c r="K34" s="9">
        <v>152406.19780478501</v>
      </c>
      <c r="L34" s="9">
        <v>180416.92847303199</v>
      </c>
      <c r="M34" s="9">
        <v>215135.291605771</v>
      </c>
      <c r="N34" s="9">
        <v>267457.56872037798</v>
      </c>
      <c r="O34" s="9">
        <v>318723.50895634101</v>
      </c>
      <c r="P34" s="9">
        <v>375088.95855046698</v>
      </c>
      <c r="Q34" s="9">
        <v>460094.71948314802</v>
      </c>
      <c r="R34" s="9">
        <v>543542.78106000496</v>
      </c>
      <c r="S34" s="9">
        <v>618860.88865777</v>
      </c>
      <c r="T34" s="9">
        <v>664458.33281559497</v>
      </c>
      <c r="U34" s="9">
        <v>853793.97494799795</v>
      </c>
      <c r="V34" s="9">
        <v>1053727.35051338</v>
      </c>
      <c r="W34" s="9">
        <v>1415596.3882883601</v>
      </c>
      <c r="X34" s="9">
        <v>1621947.30184074</v>
      </c>
      <c r="Y34" s="9">
        <v>1948107.38600938</v>
      </c>
      <c r="Z34" s="9">
        <v>2348219.9248889801</v>
      </c>
      <c r="AA34" s="9">
        <v>2791483.98504938</v>
      </c>
      <c r="AB34" s="9">
        <v>3168335.2559440499</v>
      </c>
      <c r="AC34" s="9">
        <v>3697644.30473558</v>
      </c>
      <c r="AD34" s="9">
        <v>4140646.5643329099</v>
      </c>
      <c r="AE34" s="9">
        <v>4801482.73169671</v>
      </c>
      <c r="AF34" s="9">
        <v>5359889.8866551397</v>
      </c>
      <c r="AG34" s="9">
        <v>5978823.0266135698</v>
      </c>
    </row>
    <row r="35" spans="1:33" x14ac:dyDescent="0.25">
      <c r="A35" s="8">
        <v>33</v>
      </c>
      <c r="B35" s="5" t="s">
        <v>35</v>
      </c>
      <c r="C35" s="9">
        <v>16416.742740640701</v>
      </c>
      <c r="D35" s="9">
        <v>21259.392601343199</v>
      </c>
      <c r="E35" s="9">
        <v>30049.840663778901</v>
      </c>
      <c r="F35" s="9">
        <v>32428.315815127102</v>
      </c>
      <c r="G35" s="9">
        <v>35978.367161876202</v>
      </c>
      <c r="H35" s="9">
        <v>46875.581794446298</v>
      </c>
      <c r="I35" s="9">
        <v>54988.145082430303</v>
      </c>
      <c r="J35" s="9">
        <v>76577.416135947104</v>
      </c>
      <c r="K35" s="9">
        <v>93882.331806106798</v>
      </c>
      <c r="L35" s="9">
        <v>103542.832583215</v>
      </c>
      <c r="M35" s="9">
        <v>114716.37292687299</v>
      </c>
      <c r="N35" s="9">
        <v>152947.31173988499</v>
      </c>
      <c r="O35" s="9">
        <v>192374.77663314599</v>
      </c>
      <c r="P35" s="9">
        <v>225516.60998500499</v>
      </c>
      <c r="Q35" s="9">
        <v>282109.99507945898</v>
      </c>
      <c r="R35" s="9">
        <v>338990.56213462999</v>
      </c>
      <c r="S35" s="9">
        <v>370292.868749402</v>
      </c>
      <c r="T35" s="9">
        <v>380211.22823702899</v>
      </c>
      <c r="U35" s="9">
        <v>483037.85985963402</v>
      </c>
      <c r="V35" s="9">
        <v>579142.61306746595</v>
      </c>
      <c r="W35" s="9">
        <v>755325.05782867596</v>
      </c>
      <c r="X35" s="9">
        <v>919525.86991369899</v>
      </c>
      <c r="Y35" s="9">
        <v>1170160.08943103</v>
      </c>
      <c r="Z35" s="9">
        <v>1431120.5299911499</v>
      </c>
      <c r="AA35" s="9">
        <v>1761248.43765204</v>
      </c>
      <c r="AB35" s="9">
        <v>2067580.5040190499</v>
      </c>
      <c r="AC35" s="9">
        <v>2489351.4332012199</v>
      </c>
      <c r="AD35" s="9">
        <v>2871312.2023525601</v>
      </c>
      <c r="AE35" s="9">
        <v>3428646.67138641</v>
      </c>
      <c r="AF35" s="9">
        <v>3934621.4475436499</v>
      </c>
      <c r="AG35" s="9">
        <v>4506945.4087771298</v>
      </c>
    </row>
    <row r="36" spans="1:33" x14ac:dyDescent="0.25">
      <c r="A36" s="8">
        <v>34</v>
      </c>
      <c r="B36" s="5" t="s">
        <v>36</v>
      </c>
      <c r="C36" s="9">
        <v>23831.433716984699</v>
      </c>
      <c r="D36" s="9">
        <v>33227.8177104184</v>
      </c>
      <c r="E36" s="9">
        <v>43740.320567484101</v>
      </c>
      <c r="F36" s="9">
        <v>52542.552804536303</v>
      </c>
      <c r="G36" s="9">
        <v>70791.814998119604</v>
      </c>
      <c r="H36" s="9">
        <v>95969.529156153498</v>
      </c>
      <c r="I36" s="9">
        <v>133343.764192751</v>
      </c>
      <c r="J36" s="9">
        <v>153445.83486749101</v>
      </c>
      <c r="K36" s="9">
        <v>188523.371154967</v>
      </c>
      <c r="L36" s="9">
        <v>218516.49695130301</v>
      </c>
      <c r="M36" s="9">
        <v>256519.140995116</v>
      </c>
      <c r="N36" s="9">
        <v>293322.60611522099</v>
      </c>
      <c r="O36" s="9">
        <v>328490.12050003</v>
      </c>
      <c r="P36" s="9">
        <v>383756.715342696</v>
      </c>
      <c r="Q36" s="9">
        <v>435835.74320954701</v>
      </c>
      <c r="R36" s="9">
        <v>495782.08964128199</v>
      </c>
      <c r="S36" s="9">
        <v>541453.22388278402</v>
      </c>
      <c r="T36" s="9">
        <v>616530.508224127</v>
      </c>
      <c r="U36" s="9">
        <v>712504.24658912199</v>
      </c>
      <c r="V36" s="9">
        <v>820114.48449539195</v>
      </c>
      <c r="W36" s="9">
        <v>987956.60357449704</v>
      </c>
      <c r="X36" s="9">
        <v>1199900.84218501</v>
      </c>
      <c r="Y36" s="9">
        <v>1354059.7717293899</v>
      </c>
      <c r="Z36" s="9">
        <v>1502563.4421332399</v>
      </c>
      <c r="AA36" s="9">
        <v>1771155.1903124501</v>
      </c>
      <c r="AB36" s="9">
        <v>2012178.4704797999</v>
      </c>
      <c r="AC36" s="9">
        <v>2260582.2743690698</v>
      </c>
      <c r="AD36" s="9">
        <v>2497707.0165682598</v>
      </c>
      <c r="AE36" s="9">
        <v>2857012.2034293599</v>
      </c>
      <c r="AF36" s="9">
        <v>3220687.9370543198</v>
      </c>
      <c r="AG36" s="9">
        <v>3572298.20983965</v>
      </c>
    </row>
    <row r="37" spans="1:33" x14ac:dyDescent="0.25">
      <c r="A37" s="8">
        <v>35</v>
      </c>
      <c r="B37" s="5" t="s">
        <v>37</v>
      </c>
      <c r="C37" s="9">
        <v>23950.840954112002</v>
      </c>
      <c r="D37" s="9">
        <v>28121.021781849999</v>
      </c>
      <c r="E37" s="9">
        <v>31099.3404390754</v>
      </c>
      <c r="F37" s="9">
        <v>34181.933153543199</v>
      </c>
      <c r="G37" s="9">
        <v>40177.260843340599</v>
      </c>
      <c r="H37" s="9">
        <v>47267.185586339103</v>
      </c>
      <c r="I37" s="9">
        <v>72254.120778508601</v>
      </c>
      <c r="J37" s="9">
        <v>91210.206452033701</v>
      </c>
      <c r="K37" s="9">
        <v>109537.75226323601</v>
      </c>
      <c r="L37" s="9">
        <v>131392.68887980701</v>
      </c>
      <c r="M37" s="9">
        <v>159563.44787239801</v>
      </c>
      <c r="N37" s="9">
        <v>192041.26466832301</v>
      </c>
      <c r="O37" s="9">
        <v>226487.48149128901</v>
      </c>
      <c r="P37" s="9">
        <v>276181.40526999102</v>
      </c>
      <c r="Q37" s="9">
        <v>329032.09493567498</v>
      </c>
      <c r="R37" s="9">
        <v>392800.826705496</v>
      </c>
      <c r="S37" s="9">
        <v>430279.76070137898</v>
      </c>
      <c r="T37" s="9">
        <v>491415.33132843103</v>
      </c>
      <c r="U37" s="9">
        <v>582720.71394288098</v>
      </c>
      <c r="V37" s="9">
        <v>680443.20588058897</v>
      </c>
      <c r="W37" s="9">
        <v>831576.97653338197</v>
      </c>
      <c r="X37" s="9">
        <v>999227.53308601596</v>
      </c>
      <c r="Y37" s="9">
        <v>1115542.1593428999</v>
      </c>
      <c r="Z37" s="9">
        <v>1240168.2995297699</v>
      </c>
      <c r="AA37" s="9">
        <v>1455313.3103344699</v>
      </c>
      <c r="AB37" s="9">
        <v>1645925.4416030899</v>
      </c>
      <c r="AC37" s="9">
        <v>1840878.2837772199</v>
      </c>
      <c r="AD37" s="9">
        <v>2024780.45336169</v>
      </c>
      <c r="AE37" s="9">
        <v>2305408.1883857101</v>
      </c>
      <c r="AF37" s="9">
        <v>2586796.74563578</v>
      </c>
      <c r="AG37" s="9">
        <v>2855706.5560600599</v>
      </c>
    </row>
    <row r="38" spans="1:33" x14ac:dyDescent="0.25">
      <c r="A38" s="8">
        <v>36</v>
      </c>
      <c r="B38" s="5" t="s">
        <v>38</v>
      </c>
      <c r="C38" s="9">
        <v>9316.2828888060394</v>
      </c>
      <c r="D38" s="9">
        <v>11929.178470568801</v>
      </c>
      <c r="E38" s="9">
        <v>14513.1671633963</v>
      </c>
      <c r="F38" s="9">
        <v>16795.1704963825</v>
      </c>
      <c r="G38" s="9">
        <v>21446.779579233498</v>
      </c>
      <c r="H38" s="9">
        <v>27626.806947555899</v>
      </c>
      <c r="I38" s="9">
        <v>39283.138704737103</v>
      </c>
      <c r="J38" s="9">
        <v>46305.050833957299</v>
      </c>
      <c r="K38" s="9">
        <v>56086.801324084598</v>
      </c>
      <c r="L38" s="9">
        <v>65338.397155416802</v>
      </c>
      <c r="M38" s="9">
        <v>77096.160432923207</v>
      </c>
      <c r="N38" s="9">
        <v>96076.6275466316</v>
      </c>
      <c r="O38" s="9">
        <v>117032.550568858</v>
      </c>
      <c r="P38" s="9">
        <v>143002.43573389301</v>
      </c>
      <c r="Q38" s="9">
        <v>173077.253917553</v>
      </c>
      <c r="R38" s="9">
        <v>209731.822084265</v>
      </c>
      <c r="S38" s="9">
        <v>227605.94206559801</v>
      </c>
      <c r="T38" s="9">
        <v>257519.160447442</v>
      </c>
      <c r="U38" s="9">
        <v>306227.29218032397</v>
      </c>
      <c r="V38" s="9">
        <v>356429.49312874197</v>
      </c>
      <c r="W38" s="9">
        <v>434207.65247202897</v>
      </c>
      <c r="X38" s="9">
        <v>530864.98080915306</v>
      </c>
      <c r="Y38" s="9">
        <v>603006.05223252403</v>
      </c>
      <c r="Z38" s="9">
        <v>675047.72844994301</v>
      </c>
      <c r="AA38" s="9">
        <v>801771.49935307598</v>
      </c>
      <c r="AB38" s="9">
        <v>917756.08791710401</v>
      </c>
      <c r="AC38" s="9">
        <v>1066419.44185371</v>
      </c>
      <c r="AD38" s="9">
        <v>1217772.5300700399</v>
      </c>
      <c r="AE38" s="9">
        <v>1420659.6081849199</v>
      </c>
      <c r="AF38" s="9">
        <v>1643065.3173099</v>
      </c>
      <c r="AG38" s="9">
        <v>1868915.2341002901</v>
      </c>
    </row>
    <row r="39" spans="1:33" x14ac:dyDescent="0.25">
      <c r="A39" s="8">
        <v>37</v>
      </c>
      <c r="B39" s="6" t="s">
        <v>39</v>
      </c>
      <c r="C39" s="9">
        <v>38810.583609110698</v>
      </c>
      <c r="D39" s="9">
        <v>47964.330281636299</v>
      </c>
      <c r="E39" s="9">
        <v>64906.010238034803</v>
      </c>
      <c r="F39" s="9">
        <v>68309.188810249907</v>
      </c>
      <c r="G39" s="9">
        <v>73273.573885229402</v>
      </c>
      <c r="H39" s="9">
        <v>92333.774040332995</v>
      </c>
      <c r="I39" s="9">
        <v>118938.161628092</v>
      </c>
      <c r="J39" s="9">
        <v>182682.82732843701</v>
      </c>
      <c r="K39" s="9">
        <v>231375.887925455</v>
      </c>
      <c r="L39" s="9">
        <v>273373.48308364197</v>
      </c>
      <c r="M39" s="9">
        <v>325372.56024110201</v>
      </c>
      <c r="N39" s="9">
        <v>331537.28103705199</v>
      </c>
      <c r="O39" s="9">
        <v>323675.15524043998</v>
      </c>
      <c r="P39" s="9">
        <v>345343.45487661398</v>
      </c>
      <c r="Q39" s="9">
        <v>364071.615428327</v>
      </c>
      <c r="R39" s="9">
        <v>368082.662215452</v>
      </c>
      <c r="S39" s="9">
        <v>416975.27515655098</v>
      </c>
      <c r="T39" s="9">
        <v>445357.43115963001</v>
      </c>
      <c r="U39" s="9">
        <v>524683.62596819596</v>
      </c>
      <c r="V39" s="9">
        <v>616629.84648686997</v>
      </c>
      <c r="W39" s="9">
        <v>787115.81769880105</v>
      </c>
      <c r="X39" s="9">
        <v>877302.86765452905</v>
      </c>
      <c r="Y39" s="9">
        <v>1023893.7014849</v>
      </c>
      <c r="Z39" s="9">
        <v>1181631.5485130199</v>
      </c>
      <c r="AA39" s="9">
        <v>1351515.9478956601</v>
      </c>
      <c r="AB39" s="9">
        <v>1473196.5535051799</v>
      </c>
      <c r="AC39" s="9">
        <v>1714779.23881017</v>
      </c>
      <c r="AD39" s="9">
        <v>1915251.24493674</v>
      </c>
      <c r="AE39" s="9">
        <v>2172965.1073381398</v>
      </c>
      <c r="AF39" s="9">
        <v>2396314.8926887698</v>
      </c>
      <c r="AG39" s="9">
        <v>2640722.6825224902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0"/>
  <sheetViews>
    <sheetView tabSelected="1" topLeftCell="O1" zoomScale="55" zoomScaleNormal="55" workbookViewId="0">
      <selection activeCell="B4" sqref="B4:B40"/>
    </sheetView>
  </sheetViews>
  <sheetFormatPr defaultColWidth="9" defaultRowHeight="14" x14ac:dyDescent="0.25"/>
  <cols>
    <col min="4" max="33" width="9.453125" customWidth="1"/>
  </cols>
  <sheetData>
    <row r="1" spans="1:33" s="1" customFormat="1" ht="12.5" x14ac:dyDescent="0.25">
      <c r="A1" s="2" t="s">
        <v>45</v>
      </c>
    </row>
    <row r="2" spans="1:33" x14ac:dyDescent="0.25">
      <c r="A2" s="3" t="s">
        <v>41</v>
      </c>
      <c r="B2" s="3" t="s">
        <v>2</v>
      </c>
      <c r="C2" s="1">
        <v>1987</v>
      </c>
      <c r="D2" s="1">
        <v>1988</v>
      </c>
      <c r="E2" s="1">
        <v>1989</v>
      </c>
      <c r="F2" s="1">
        <v>1990</v>
      </c>
      <c r="G2" s="1">
        <v>1991</v>
      </c>
      <c r="H2" s="1">
        <v>1992</v>
      </c>
      <c r="I2" s="1">
        <v>1993</v>
      </c>
      <c r="J2" s="1">
        <v>1994</v>
      </c>
      <c r="K2" s="1">
        <v>1995</v>
      </c>
      <c r="L2" s="1">
        <v>1996</v>
      </c>
      <c r="M2" s="1">
        <v>1997</v>
      </c>
      <c r="N2" s="1">
        <v>1998</v>
      </c>
      <c r="O2" s="1">
        <v>1999</v>
      </c>
      <c r="P2" s="1">
        <v>2000</v>
      </c>
      <c r="Q2" s="1">
        <v>2001</v>
      </c>
      <c r="R2" s="1">
        <v>2002</v>
      </c>
      <c r="S2" s="1">
        <v>2003</v>
      </c>
      <c r="T2" s="1">
        <v>2004</v>
      </c>
      <c r="U2" s="1">
        <v>2005</v>
      </c>
      <c r="V2" s="1">
        <v>2006</v>
      </c>
      <c r="W2" s="1">
        <v>2007</v>
      </c>
      <c r="X2" s="1">
        <v>2008</v>
      </c>
      <c r="Y2" s="1">
        <v>2009</v>
      </c>
      <c r="Z2" s="1">
        <v>2010</v>
      </c>
      <c r="AA2" s="1">
        <v>2011</v>
      </c>
      <c r="AB2" s="1">
        <v>2012</v>
      </c>
      <c r="AC2" s="1">
        <v>2013</v>
      </c>
      <c r="AD2" s="1">
        <v>2014</v>
      </c>
      <c r="AE2" s="1">
        <v>2015</v>
      </c>
      <c r="AF2" s="1">
        <v>2016</v>
      </c>
      <c r="AG2" s="1">
        <v>2017</v>
      </c>
    </row>
    <row r="3" spans="1:33" x14ac:dyDescent="0.25">
      <c r="A3" s="3"/>
      <c r="B3" s="3" t="s">
        <v>42</v>
      </c>
      <c r="C3" s="4">
        <v>100</v>
      </c>
      <c r="D3" s="4">
        <v>100.09648422037699</v>
      </c>
      <c r="E3" s="4">
        <v>96.862992058396799</v>
      </c>
      <c r="F3" s="4">
        <v>95.649427882373303</v>
      </c>
      <c r="G3" s="4">
        <v>97.191263134270997</v>
      </c>
      <c r="H3" s="4">
        <v>99.446459523897104</v>
      </c>
      <c r="I3" s="4">
        <v>100.05608924902801</v>
      </c>
      <c r="J3" s="4">
        <v>101.691670048323</v>
      </c>
      <c r="K3" s="4">
        <v>101.269682202111</v>
      </c>
      <c r="L3" s="4">
        <v>100.63291160213601</v>
      </c>
      <c r="M3" s="4">
        <v>101.352376528265</v>
      </c>
      <c r="N3" s="4">
        <v>102.164879608801</v>
      </c>
      <c r="O3" s="4">
        <v>101.865518120366</v>
      </c>
      <c r="P3" s="4">
        <v>102.256855418537</v>
      </c>
      <c r="Q3" s="4">
        <v>102.820480718529</v>
      </c>
      <c r="R3" s="4">
        <v>102.362013759616</v>
      </c>
      <c r="S3" s="4">
        <v>103.260029822006</v>
      </c>
      <c r="T3" s="4">
        <v>103.619556104804</v>
      </c>
      <c r="U3" s="4">
        <v>105.841644750955</v>
      </c>
      <c r="V3" s="4">
        <v>107.00364532237199</v>
      </c>
      <c r="W3" s="4">
        <v>108.402338078159</v>
      </c>
      <c r="X3" s="4">
        <v>108.32530691271501</v>
      </c>
      <c r="Y3" s="4">
        <v>106.204044093375</v>
      </c>
      <c r="Z3" s="4">
        <v>105.762974213549</v>
      </c>
      <c r="AA3" s="4">
        <v>106.302989757898</v>
      </c>
      <c r="AB3" s="4">
        <v>106.482697180261</v>
      </c>
      <c r="AC3" s="4">
        <v>105.975781896077</v>
      </c>
      <c r="AD3" s="4">
        <v>104.576406044515</v>
      </c>
      <c r="AE3" s="4">
        <v>104.446781108023</v>
      </c>
      <c r="AF3" s="4">
        <v>104.438669479127</v>
      </c>
      <c r="AG3" s="4">
        <v>105.04571909065901</v>
      </c>
    </row>
    <row r="4" spans="1:33" x14ac:dyDescent="0.25">
      <c r="A4" s="3">
        <v>1</v>
      </c>
      <c r="B4" s="5" t="s">
        <v>3</v>
      </c>
      <c r="C4" s="4">
        <v>100</v>
      </c>
      <c r="D4" s="4">
        <v>99.854916479237602</v>
      </c>
      <c r="E4" s="4">
        <v>100.56323181449901</v>
      </c>
      <c r="F4" s="4">
        <v>101.06213756662601</v>
      </c>
      <c r="G4" s="4">
        <v>100.1450962994</v>
      </c>
      <c r="H4" s="4">
        <v>101.46519678222199</v>
      </c>
      <c r="I4" s="4">
        <v>104.662512444119</v>
      </c>
      <c r="J4" s="4">
        <v>103.83133725564601</v>
      </c>
      <c r="K4" s="4">
        <v>105.94691008119101</v>
      </c>
      <c r="L4" s="4">
        <v>106.394984874065</v>
      </c>
      <c r="M4" s="4">
        <v>109.98315198531</v>
      </c>
      <c r="N4" s="4">
        <v>113.624287079651</v>
      </c>
      <c r="O4" s="4">
        <v>113.565648047537</v>
      </c>
      <c r="P4" s="4">
        <v>111.832728305277</v>
      </c>
      <c r="Q4" s="4">
        <v>109.761452500869</v>
      </c>
      <c r="R4" s="4">
        <v>106.20171533911299</v>
      </c>
      <c r="S4" s="4">
        <v>107.401562768451</v>
      </c>
      <c r="T4" s="4">
        <v>109.88269943129499</v>
      </c>
      <c r="U4" s="4">
        <v>116.66720480167</v>
      </c>
      <c r="V4" s="4">
        <v>122.192679162769</v>
      </c>
      <c r="W4" s="4">
        <v>125.28102050543001</v>
      </c>
      <c r="X4" s="4">
        <v>131.57078148445399</v>
      </c>
      <c r="Y4" s="4">
        <v>136.97758534358499</v>
      </c>
      <c r="Z4" s="4">
        <v>137.91727064890901</v>
      </c>
      <c r="AA4" s="4">
        <v>144.46250381640101</v>
      </c>
      <c r="AB4" s="4">
        <v>152.49893011737001</v>
      </c>
      <c r="AC4" s="4">
        <v>161.663101568831</v>
      </c>
      <c r="AD4" s="4">
        <v>162.800527920029</v>
      </c>
      <c r="AE4" s="4">
        <v>167.4092429792</v>
      </c>
      <c r="AF4" s="4">
        <v>171.358378826777</v>
      </c>
      <c r="AG4" s="4">
        <v>176.86121106271901</v>
      </c>
    </row>
    <row r="5" spans="1:33" x14ac:dyDescent="0.25">
      <c r="A5" s="3">
        <v>2</v>
      </c>
      <c r="B5" s="5" t="s">
        <v>4</v>
      </c>
      <c r="C5" s="4">
        <v>100</v>
      </c>
      <c r="D5" s="4">
        <v>108.449157881307</v>
      </c>
      <c r="E5" s="4">
        <v>105.784614347257</v>
      </c>
      <c r="F5" s="4">
        <v>99.916789073189705</v>
      </c>
      <c r="G5" s="4">
        <v>96.795650930911904</v>
      </c>
      <c r="H5" s="4">
        <v>96.891111196973398</v>
      </c>
      <c r="I5" s="4">
        <v>91.276932138972299</v>
      </c>
      <c r="J5" s="4">
        <v>95.911057716129903</v>
      </c>
      <c r="K5" s="4">
        <v>98.844355585929407</v>
      </c>
      <c r="L5" s="4">
        <v>96.275998444844504</v>
      </c>
      <c r="M5" s="4">
        <v>98.114791723235896</v>
      </c>
      <c r="N5" s="4">
        <v>113.33203134950099</v>
      </c>
      <c r="O5" s="4">
        <v>130.39062775114499</v>
      </c>
      <c r="P5" s="4">
        <v>148.146865557821</v>
      </c>
      <c r="Q5" s="4">
        <v>148.422755217054</v>
      </c>
      <c r="R5" s="4">
        <v>134.202114859993</v>
      </c>
      <c r="S5" s="4">
        <v>131.709264253469</v>
      </c>
      <c r="T5" s="4">
        <v>112.359954683189</v>
      </c>
      <c r="U5" s="4">
        <v>103.996049129651</v>
      </c>
      <c r="V5" s="4">
        <v>103.205847091246</v>
      </c>
      <c r="W5" s="4">
        <v>103.25969853305</v>
      </c>
      <c r="X5" s="4">
        <v>101.728744366803</v>
      </c>
      <c r="Y5" s="4">
        <v>91.484703926588907</v>
      </c>
      <c r="Z5" s="4">
        <v>91.981474377079806</v>
      </c>
      <c r="AA5" s="4">
        <v>94.7629758476604</v>
      </c>
      <c r="AB5" s="4">
        <v>95.087972824564602</v>
      </c>
      <c r="AC5" s="4">
        <v>102.957801251257</v>
      </c>
      <c r="AD5" s="4">
        <v>106.98744245947999</v>
      </c>
      <c r="AE5" s="4">
        <v>114.90145180994899</v>
      </c>
      <c r="AF5" s="4">
        <v>116.17280538576701</v>
      </c>
      <c r="AG5" s="4">
        <v>104.381693089142</v>
      </c>
    </row>
    <row r="6" spans="1:33" x14ac:dyDescent="0.25">
      <c r="A6" s="3">
        <v>3</v>
      </c>
      <c r="B6" s="5" t="s">
        <v>5</v>
      </c>
      <c r="C6" s="4">
        <v>100</v>
      </c>
      <c r="D6" s="4">
        <v>100.90722972040901</v>
      </c>
      <c r="E6" s="4">
        <v>85.169905627537105</v>
      </c>
      <c r="F6" s="4">
        <v>69.480306967479507</v>
      </c>
      <c r="G6" s="4">
        <v>57.376698094287001</v>
      </c>
      <c r="H6" s="4">
        <v>57.315361145357201</v>
      </c>
      <c r="I6" s="4">
        <v>28.5515944278139</v>
      </c>
      <c r="J6" s="4">
        <v>19.5107482401183</v>
      </c>
      <c r="K6" s="4">
        <v>15.1626430866385</v>
      </c>
      <c r="L6" s="4">
        <v>15.744981500873999</v>
      </c>
      <c r="M6" s="4">
        <v>15.6461684465852</v>
      </c>
      <c r="N6" s="4">
        <v>16.858249414869899</v>
      </c>
      <c r="O6" s="4">
        <v>14.1163427596197</v>
      </c>
      <c r="P6" s="4">
        <v>8.5750914354128405</v>
      </c>
      <c r="Q6" s="4">
        <v>9.0445832299696693</v>
      </c>
      <c r="R6" s="4">
        <v>10.184637758188099</v>
      </c>
      <c r="S6" s="4">
        <v>8.2659135623177704</v>
      </c>
      <c r="T6" s="4">
        <v>6.3076983109607996</v>
      </c>
      <c r="U6" s="4">
        <v>5.9914075219254199</v>
      </c>
      <c r="V6" s="4">
        <v>4.9849119138677196</v>
      </c>
      <c r="W6" s="4">
        <v>4.8426418700895404</v>
      </c>
      <c r="X6" s="4">
        <v>4.40222654147688</v>
      </c>
      <c r="Y6" s="4">
        <v>5.3871594902732598</v>
      </c>
      <c r="Z6" s="4">
        <v>4.1485516207029498</v>
      </c>
      <c r="AA6" s="4">
        <v>3.0893070250066801</v>
      </c>
      <c r="AB6" s="4">
        <v>2.9861216902219101</v>
      </c>
      <c r="AC6" s="4">
        <v>2.9703597885040001</v>
      </c>
      <c r="AD6" s="4">
        <v>2.4547813953214899</v>
      </c>
      <c r="AE6" s="4">
        <v>2.7651661275942101</v>
      </c>
      <c r="AF6" s="4">
        <v>2.7364491968742102</v>
      </c>
      <c r="AG6" s="4">
        <v>2.65305611135001</v>
      </c>
    </row>
    <row r="7" spans="1:33" x14ac:dyDescent="0.25">
      <c r="A7" s="3">
        <v>4</v>
      </c>
      <c r="B7" s="5" t="s">
        <v>6</v>
      </c>
      <c r="C7" s="4">
        <v>100</v>
      </c>
      <c r="D7" s="4">
        <v>110.57947221718899</v>
      </c>
      <c r="E7" s="4">
        <v>105.60316660083799</v>
      </c>
      <c r="F7" s="4">
        <v>94.353977468243798</v>
      </c>
      <c r="G7" s="4">
        <v>92.582554894149197</v>
      </c>
      <c r="H7" s="4">
        <v>98.9728158828472</v>
      </c>
      <c r="I7" s="4">
        <v>112.983734939307</v>
      </c>
      <c r="J7" s="4">
        <v>125.267265230503</v>
      </c>
      <c r="K7" s="4">
        <v>109.629899273392</v>
      </c>
      <c r="L7" s="4">
        <v>125.743207738031</v>
      </c>
      <c r="M7" s="4">
        <v>138.581031812135</v>
      </c>
      <c r="N7" s="4">
        <v>154.08158826195299</v>
      </c>
      <c r="O7" s="4">
        <v>170.65245591857001</v>
      </c>
      <c r="P7" s="4">
        <v>179.40896790148099</v>
      </c>
      <c r="Q7" s="4">
        <v>237.61209259195601</v>
      </c>
      <c r="R7" s="4">
        <v>237.18426373823399</v>
      </c>
      <c r="S7" s="4">
        <v>239.276253036166</v>
      </c>
      <c r="T7" s="4">
        <v>199.480255208975</v>
      </c>
      <c r="U7" s="4">
        <v>194.880643843554</v>
      </c>
      <c r="V7" s="4">
        <v>186.81370442009299</v>
      </c>
      <c r="W7" s="4">
        <v>170.905298343276</v>
      </c>
      <c r="X7" s="4">
        <v>162.47240096979201</v>
      </c>
      <c r="Y7" s="4">
        <v>182.45012686752199</v>
      </c>
      <c r="Z7" s="4">
        <v>164.61523534999699</v>
      </c>
      <c r="AA7" s="4">
        <v>159.11729846896401</v>
      </c>
      <c r="AB7" s="4">
        <v>166.06934453196899</v>
      </c>
      <c r="AC7" s="4">
        <v>167.38860241987501</v>
      </c>
      <c r="AD7" s="4">
        <v>166.13455609095601</v>
      </c>
      <c r="AE7" s="4">
        <v>175.45377384800199</v>
      </c>
      <c r="AF7" s="4">
        <v>178.46171386267201</v>
      </c>
      <c r="AG7" s="4">
        <v>177.379234628977</v>
      </c>
    </row>
    <row r="8" spans="1:33" x14ac:dyDescent="0.25">
      <c r="A8" s="3">
        <v>5</v>
      </c>
      <c r="B8" s="5" t="s">
        <v>7</v>
      </c>
      <c r="C8" s="4">
        <v>100</v>
      </c>
      <c r="D8" s="4">
        <v>115.908484937579</v>
      </c>
      <c r="E8" s="4">
        <v>115.933817173395</v>
      </c>
      <c r="F8" s="4">
        <v>95.345879355273397</v>
      </c>
      <c r="G8" s="4">
        <v>104.858390659337</v>
      </c>
      <c r="H8" s="4">
        <v>113.333564905385</v>
      </c>
      <c r="I8" s="4">
        <v>117.56494566569</v>
      </c>
      <c r="J8" s="4">
        <v>129.92127629213999</v>
      </c>
      <c r="K8" s="4">
        <v>137.922898120296</v>
      </c>
      <c r="L8" s="4">
        <v>134.459857268798</v>
      </c>
      <c r="M8" s="4">
        <v>144.50024889668299</v>
      </c>
      <c r="N8" s="4">
        <v>138.97223745026</v>
      </c>
      <c r="O8" s="4">
        <v>144.41275493252499</v>
      </c>
      <c r="P8" s="4">
        <v>157.51850402313099</v>
      </c>
      <c r="Q8" s="4">
        <v>161.459158589038</v>
      </c>
      <c r="R8" s="4">
        <v>164.83803133986399</v>
      </c>
      <c r="S8" s="4">
        <v>175.656671315578</v>
      </c>
      <c r="T8" s="4">
        <v>175.69181372424899</v>
      </c>
      <c r="U8" s="4">
        <v>176.967367531424</v>
      </c>
      <c r="V8" s="4">
        <v>183.47893716153601</v>
      </c>
      <c r="W8" s="4">
        <v>184.49468698352101</v>
      </c>
      <c r="X8" s="4">
        <v>200.77550687121499</v>
      </c>
      <c r="Y8" s="4">
        <v>188.07856968239901</v>
      </c>
      <c r="Z8" s="4">
        <v>198.46495706347</v>
      </c>
      <c r="AA8" s="4">
        <v>203.88264529540899</v>
      </c>
      <c r="AB8" s="4">
        <v>197.30666936129401</v>
      </c>
      <c r="AC8" s="4">
        <v>210.58126773541301</v>
      </c>
      <c r="AD8" s="4">
        <v>208.57944733390499</v>
      </c>
      <c r="AE8" s="4">
        <v>198.618856941633</v>
      </c>
      <c r="AF8" s="4">
        <v>206.31589884228501</v>
      </c>
      <c r="AG8" s="4">
        <v>227.82460380707599</v>
      </c>
    </row>
    <row r="9" spans="1:33" x14ac:dyDescent="0.25">
      <c r="A9" s="3">
        <v>6</v>
      </c>
      <c r="B9" s="5" t="s">
        <v>8</v>
      </c>
      <c r="C9" s="4">
        <v>100</v>
      </c>
      <c r="D9" s="4">
        <v>99.204387345057896</v>
      </c>
      <c r="E9" s="4">
        <v>90.281458021525594</v>
      </c>
      <c r="F9" s="4">
        <v>94.421872057639405</v>
      </c>
      <c r="G9" s="4">
        <v>102.76601362385</v>
      </c>
      <c r="H9" s="4">
        <v>104.683894585562</v>
      </c>
      <c r="I9" s="4">
        <v>105.47343254556699</v>
      </c>
      <c r="J9" s="4">
        <v>112.083619948354</v>
      </c>
      <c r="K9" s="4">
        <v>104.14198528702499</v>
      </c>
      <c r="L9" s="4">
        <v>108.027494618323</v>
      </c>
      <c r="M9" s="4">
        <v>110.30399810659399</v>
      </c>
      <c r="N9" s="4">
        <v>108.346633598572</v>
      </c>
      <c r="O9" s="4">
        <v>109.134145724089</v>
      </c>
      <c r="P9" s="4">
        <v>117.758247561036</v>
      </c>
      <c r="Q9" s="4">
        <v>119.144635046781</v>
      </c>
      <c r="R9" s="4">
        <v>120.66965595612</v>
      </c>
      <c r="S9" s="4">
        <v>124.04548158642</v>
      </c>
      <c r="T9" s="4">
        <v>126.13387344635601</v>
      </c>
      <c r="U9" s="4">
        <v>125.534565526923</v>
      </c>
      <c r="V9" s="4">
        <v>128.57915359644301</v>
      </c>
      <c r="W9" s="4">
        <v>129.80927648304299</v>
      </c>
      <c r="X9" s="4">
        <v>127.945719104467</v>
      </c>
      <c r="Y9" s="4">
        <v>129.53557238889599</v>
      </c>
      <c r="Z9" s="4">
        <v>132.03494361400999</v>
      </c>
      <c r="AA9" s="4">
        <v>132.88712874463499</v>
      </c>
      <c r="AB9" s="4">
        <v>134.84494827940799</v>
      </c>
      <c r="AC9" s="4">
        <v>136.319476517525</v>
      </c>
      <c r="AD9" s="4">
        <v>138.45046841025501</v>
      </c>
      <c r="AE9" s="4">
        <v>140.977704702024</v>
      </c>
      <c r="AF9" s="4">
        <v>143.66047349431901</v>
      </c>
      <c r="AG9" s="4">
        <v>147.21885310279799</v>
      </c>
    </row>
    <row r="10" spans="1:33" x14ac:dyDescent="0.25">
      <c r="A10" s="3">
        <v>7</v>
      </c>
      <c r="B10" s="5" t="s">
        <v>9</v>
      </c>
      <c r="C10" s="4">
        <v>100</v>
      </c>
      <c r="D10" s="4">
        <v>97.899642196978505</v>
      </c>
      <c r="E10" s="4">
        <v>90.498435835213598</v>
      </c>
      <c r="F10" s="4">
        <v>80.408733240346194</v>
      </c>
      <c r="G10" s="4">
        <v>75.364508789387997</v>
      </c>
      <c r="H10" s="4">
        <v>74.392497134733802</v>
      </c>
      <c r="I10" s="4">
        <v>74.589907057693907</v>
      </c>
      <c r="J10" s="4">
        <v>76.490133064882002</v>
      </c>
      <c r="K10" s="4">
        <v>70.070486261260498</v>
      </c>
      <c r="L10" s="4">
        <v>64.191104671342501</v>
      </c>
      <c r="M10" s="4">
        <v>59.188700568381101</v>
      </c>
      <c r="N10" s="4">
        <v>57.658967424398803</v>
      </c>
      <c r="O10" s="4">
        <v>55.691599426997698</v>
      </c>
      <c r="P10" s="4">
        <v>57.593651301490397</v>
      </c>
      <c r="Q10" s="4">
        <v>60.192562003228801</v>
      </c>
      <c r="R10" s="4">
        <v>62.509688919517203</v>
      </c>
      <c r="S10" s="4">
        <v>65.039070504978895</v>
      </c>
      <c r="T10" s="4">
        <v>67.304536961714803</v>
      </c>
      <c r="U10" s="4">
        <v>70.809551725455094</v>
      </c>
      <c r="V10" s="4">
        <v>74.889387260254395</v>
      </c>
      <c r="W10" s="4">
        <v>80.210620280372794</v>
      </c>
      <c r="X10" s="4">
        <v>87.916793579121006</v>
      </c>
      <c r="Y10" s="4">
        <v>88.133834786089494</v>
      </c>
      <c r="Z10" s="4">
        <v>92.089466853783705</v>
      </c>
      <c r="AA10" s="4">
        <v>100.554212321433</v>
      </c>
      <c r="AB10" s="4">
        <v>100.829415059906</v>
      </c>
      <c r="AC10" s="4">
        <v>99.192201665777105</v>
      </c>
      <c r="AD10" s="4">
        <v>95.754013814786305</v>
      </c>
      <c r="AE10" s="4">
        <v>94.879989130647004</v>
      </c>
      <c r="AF10" s="4">
        <v>95.446227761406007</v>
      </c>
      <c r="AG10" s="4">
        <v>100.259981999069</v>
      </c>
    </row>
    <row r="11" spans="1:33" x14ac:dyDescent="0.25">
      <c r="A11" s="3">
        <v>8</v>
      </c>
      <c r="B11" s="5" t="s">
        <v>10</v>
      </c>
      <c r="C11" s="4">
        <v>100</v>
      </c>
      <c r="D11" s="4">
        <v>96.424313811620806</v>
      </c>
      <c r="E11" s="4">
        <v>89.183226095684006</v>
      </c>
      <c r="F11" s="4">
        <v>86.232558941750398</v>
      </c>
      <c r="G11" s="4">
        <v>87.255980219121994</v>
      </c>
      <c r="H11" s="4">
        <v>93.728883050084406</v>
      </c>
      <c r="I11" s="4">
        <v>103.016528963593</v>
      </c>
      <c r="J11" s="4">
        <v>96.012265158397497</v>
      </c>
      <c r="K11" s="4">
        <v>98.490257686246295</v>
      </c>
      <c r="L11" s="4">
        <v>106.37490506611999</v>
      </c>
      <c r="M11" s="4">
        <v>110.886426145239</v>
      </c>
      <c r="N11" s="4">
        <v>111.742542711779</v>
      </c>
      <c r="O11" s="4">
        <v>113.254117715067</v>
      </c>
      <c r="P11" s="4">
        <v>113.54536225448</v>
      </c>
      <c r="Q11" s="4">
        <v>112.21014459200801</v>
      </c>
      <c r="R11" s="4">
        <v>113.314069998254</v>
      </c>
      <c r="S11" s="4">
        <v>114.673915183568</v>
      </c>
      <c r="T11" s="4">
        <v>116.052995774235</v>
      </c>
      <c r="U11" s="4">
        <v>116.935805174385</v>
      </c>
      <c r="V11" s="4">
        <v>118.199346299685</v>
      </c>
      <c r="W11" s="4">
        <v>123.818835539427</v>
      </c>
      <c r="X11" s="4">
        <v>128.21910510588299</v>
      </c>
      <c r="Y11" s="4">
        <v>127.585022651312</v>
      </c>
      <c r="Z11" s="4">
        <v>125.93451454917199</v>
      </c>
      <c r="AA11" s="4">
        <v>123.75720374225099</v>
      </c>
      <c r="AB11" s="4">
        <v>128.15543857411501</v>
      </c>
      <c r="AC11" s="4">
        <v>130.096818325687</v>
      </c>
      <c r="AD11" s="4">
        <v>130.75145394995101</v>
      </c>
      <c r="AE11" s="4">
        <v>131.871340382775</v>
      </c>
      <c r="AF11" s="4">
        <v>132.86374281087799</v>
      </c>
      <c r="AG11" s="4">
        <v>133.01013744086001</v>
      </c>
    </row>
    <row r="12" spans="1:33" x14ac:dyDescent="0.25">
      <c r="A12" s="3">
        <v>9</v>
      </c>
      <c r="B12" s="5" t="s">
        <v>11</v>
      </c>
      <c r="C12" s="4">
        <v>100</v>
      </c>
      <c r="D12" s="4">
        <v>106.577750435171</v>
      </c>
      <c r="E12" s="4">
        <v>105.397472928733</v>
      </c>
      <c r="F12" s="4">
        <v>107.20270345317</v>
      </c>
      <c r="G12" s="4">
        <v>109.516641568699</v>
      </c>
      <c r="H12" s="4">
        <v>111.860427473653</v>
      </c>
      <c r="I12" s="4">
        <v>112.402309352271</v>
      </c>
      <c r="J12" s="4">
        <v>132.12247680565099</v>
      </c>
      <c r="K12" s="4">
        <v>134.16516048640401</v>
      </c>
      <c r="L12" s="4">
        <v>132.21575548031899</v>
      </c>
      <c r="M12" s="4">
        <v>134.45080803457</v>
      </c>
      <c r="N12" s="4">
        <v>123.719214826374</v>
      </c>
      <c r="O12" s="4">
        <v>116.078513475978</v>
      </c>
      <c r="P12" s="4">
        <v>118.50313296231199</v>
      </c>
      <c r="Q12" s="4">
        <v>115.368129949856</v>
      </c>
      <c r="R12" s="4">
        <v>109.49667145605</v>
      </c>
      <c r="S12" s="4">
        <v>113.193193122059</v>
      </c>
      <c r="T12" s="4">
        <v>118.017456509271</v>
      </c>
      <c r="U12" s="4">
        <v>117.124731110049</v>
      </c>
      <c r="V12" s="4">
        <v>120.065206687326</v>
      </c>
      <c r="W12" s="4">
        <v>123.79136516360001</v>
      </c>
      <c r="X12" s="4">
        <v>126.82327661423101</v>
      </c>
      <c r="Y12" s="4">
        <v>125.67724253214401</v>
      </c>
      <c r="Z12" s="4">
        <v>132.489430723418</v>
      </c>
      <c r="AA12" s="4">
        <v>139.97155127601101</v>
      </c>
      <c r="AB12" s="4">
        <v>136.11523576264599</v>
      </c>
      <c r="AC12" s="4">
        <v>136.16201054554799</v>
      </c>
      <c r="AD12" s="4">
        <v>136.41554063053701</v>
      </c>
      <c r="AE12" s="4">
        <v>135.052003632164</v>
      </c>
      <c r="AF12" s="4">
        <v>134.408452266642</v>
      </c>
      <c r="AG12" s="4">
        <v>138.56890254337901</v>
      </c>
    </row>
    <row r="13" spans="1:33" x14ac:dyDescent="0.25">
      <c r="A13" s="3">
        <v>10</v>
      </c>
      <c r="B13" s="5" t="s">
        <v>12</v>
      </c>
      <c r="C13" s="4">
        <v>100</v>
      </c>
      <c r="D13" s="4">
        <v>104.74317327878801</v>
      </c>
      <c r="E13" s="4">
        <v>101.366629202596</v>
      </c>
      <c r="F13" s="4">
        <v>100.08413796889</v>
      </c>
      <c r="G13" s="4">
        <v>99.734782017258595</v>
      </c>
      <c r="H13" s="4">
        <v>100.690869022621</v>
      </c>
      <c r="I13" s="4">
        <v>106.54326058829101</v>
      </c>
      <c r="J13" s="4">
        <v>111.693929411083</v>
      </c>
      <c r="K13" s="4">
        <v>110.667423116159</v>
      </c>
      <c r="L13" s="4">
        <v>108.90683054428401</v>
      </c>
      <c r="M13" s="4">
        <v>111.12234024162299</v>
      </c>
      <c r="N13" s="4">
        <v>106.645666554926</v>
      </c>
      <c r="O13" s="4">
        <v>107.428647046587</v>
      </c>
      <c r="P13" s="4">
        <v>109.44980116841499</v>
      </c>
      <c r="Q13" s="4">
        <v>107.973297607497</v>
      </c>
      <c r="R13" s="4">
        <v>106.72558919837201</v>
      </c>
      <c r="S13" s="4">
        <v>109.725394191677</v>
      </c>
      <c r="T13" s="4">
        <v>114.67499341169901</v>
      </c>
      <c r="U13" s="4">
        <v>113.38593169001901</v>
      </c>
      <c r="V13" s="4">
        <v>116.44299872509499</v>
      </c>
      <c r="W13" s="4">
        <v>122.069498337163</v>
      </c>
      <c r="X13" s="4">
        <v>128.65618888247701</v>
      </c>
      <c r="Y13" s="4">
        <v>129.50565219943601</v>
      </c>
      <c r="Z13" s="4">
        <v>134.450323260521</v>
      </c>
      <c r="AA13" s="4">
        <v>139.228609775481</v>
      </c>
      <c r="AB13" s="4">
        <v>138.495260567868</v>
      </c>
      <c r="AC13" s="4">
        <v>136.56853670787001</v>
      </c>
      <c r="AD13" s="4">
        <v>134.45702705952499</v>
      </c>
      <c r="AE13" s="4">
        <v>134.17920255113299</v>
      </c>
      <c r="AF13" s="4">
        <v>133.641033163266</v>
      </c>
      <c r="AG13" s="4">
        <v>136.980360374128</v>
      </c>
    </row>
    <row r="14" spans="1:33" x14ac:dyDescent="0.25">
      <c r="A14" s="3">
        <v>11</v>
      </c>
      <c r="B14" s="5" t="s">
        <v>13</v>
      </c>
      <c r="C14" s="4">
        <v>100</v>
      </c>
      <c r="D14" s="4">
        <v>96.018090617354702</v>
      </c>
      <c r="E14" s="4">
        <v>92.328119194797793</v>
      </c>
      <c r="F14" s="4">
        <v>96.664167627754097</v>
      </c>
      <c r="G14" s="4">
        <v>95.211679776719606</v>
      </c>
      <c r="H14" s="4">
        <v>100.61266287289401</v>
      </c>
      <c r="I14" s="4">
        <v>96.814963061722594</v>
      </c>
      <c r="J14" s="4">
        <v>115.122953931751</v>
      </c>
      <c r="K14" s="4">
        <v>129.79061010412201</v>
      </c>
      <c r="L14" s="4">
        <v>141.38289389454701</v>
      </c>
      <c r="M14" s="4">
        <v>149.157007906578</v>
      </c>
      <c r="N14" s="4">
        <v>161.055252183601</v>
      </c>
      <c r="O14" s="4">
        <v>164.81417817432501</v>
      </c>
      <c r="P14" s="4">
        <v>170.23682145506501</v>
      </c>
      <c r="Q14" s="4">
        <v>172.72301012798499</v>
      </c>
      <c r="R14" s="4">
        <v>177.12714788069201</v>
      </c>
      <c r="S14" s="4">
        <v>179.255632276341</v>
      </c>
      <c r="T14" s="4">
        <v>180.982713836079</v>
      </c>
      <c r="U14" s="4">
        <v>180.08409833528</v>
      </c>
      <c r="V14" s="4">
        <v>183.789100142563</v>
      </c>
      <c r="W14" s="4">
        <v>190.00245182366501</v>
      </c>
      <c r="X14" s="4">
        <v>195.27126431115499</v>
      </c>
      <c r="Y14" s="4">
        <v>193.836243492764</v>
      </c>
      <c r="Z14" s="4">
        <v>200.84101363125299</v>
      </c>
      <c r="AA14" s="4">
        <v>206.73189545298899</v>
      </c>
      <c r="AB14" s="4">
        <v>206.764704690343</v>
      </c>
      <c r="AC14" s="4">
        <v>208.516998994495</v>
      </c>
      <c r="AD14" s="4">
        <v>208.00452986111901</v>
      </c>
      <c r="AE14" s="4">
        <v>207.892201578948</v>
      </c>
      <c r="AF14" s="4">
        <v>209.44106319415599</v>
      </c>
      <c r="AG14" s="4">
        <v>215.28317749065801</v>
      </c>
    </row>
    <row r="15" spans="1:33" x14ac:dyDescent="0.25">
      <c r="A15" s="3">
        <v>12</v>
      </c>
      <c r="B15" s="5" t="s">
        <v>14</v>
      </c>
      <c r="C15" s="4">
        <v>100</v>
      </c>
      <c r="D15" s="4">
        <v>94.911146223648402</v>
      </c>
      <c r="E15" s="4">
        <v>86.0339442477582</v>
      </c>
      <c r="F15" s="4">
        <v>85.386738799618996</v>
      </c>
      <c r="G15" s="4">
        <v>91.107701092805101</v>
      </c>
      <c r="H15" s="4">
        <v>96.178456345384802</v>
      </c>
      <c r="I15" s="4">
        <v>105.457883006074</v>
      </c>
      <c r="J15" s="4">
        <v>118.447886598331</v>
      </c>
      <c r="K15" s="4">
        <v>98.774824601599093</v>
      </c>
      <c r="L15" s="4">
        <v>93.345107125346303</v>
      </c>
      <c r="M15" s="4">
        <v>100.2986738596</v>
      </c>
      <c r="N15" s="4">
        <v>106.559627067284</v>
      </c>
      <c r="O15" s="4">
        <v>112.966137266209</v>
      </c>
      <c r="P15" s="4">
        <v>116.706338300021</v>
      </c>
      <c r="Q15" s="4">
        <v>119.644649927732</v>
      </c>
      <c r="R15" s="4">
        <v>124.33682394538</v>
      </c>
      <c r="S15" s="4">
        <v>124.802593112434</v>
      </c>
      <c r="T15" s="4">
        <v>123.701516612226</v>
      </c>
      <c r="U15" s="4">
        <v>124.666029214471</v>
      </c>
      <c r="V15" s="4">
        <v>125.894205149074</v>
      </c>
      <c r="W15" s="4">
        <v>128.66175240350199</v>
      </c>
      <c r="X15" s="4">
        <v>130.822599909253</v>
      </c>
      <c r="Y15" s="4">
        <v>133.93728493689201</v>
      </c>
      <c r="Z15" s="4">
        <v>135.83088801552501</v>
      </c>
      <c r="AA15" s="4">
        <v>140.32213448917699</v>
      </c>
      <c r="AB15" s="4">
        <v>142.34186792994399</v>
      </c>
      <c r="AC15" s="4">
        <v>146.81286079939201</v>
      </c>
      <c r="AD15" s="4">
        <v>148.64900285652101</v>
      </c>
      <c r="AE15" s="4">
        <v>148.225609004554</v>
      </c>
      <c r="AF15" s="4">
        <v>150.04795082678001</v>
      </c>
      <c r="AG15" s="4">
        <v>150.23191347233501</v>
      </c>
    </row>
    <row r="16" spans="1:33" x14ac:dyDescent="0.25">
      <c r="A16" s="3">
        <v>13</v>
      </c>
      <c r="B16" s="5" t="s">
        <v>15</v>
      </c>
      <c r="C16" s="4">
        <v>100</v>
      </c>
      <c r="D16" s="4">
        <v>91.993538819928403</v>
      </c>
      <c r="E16" s="4">
        <v>90.127042860840106</v>
      </c>
      <c r="F16" s="4">
        <v>90.334916856675704</v>
      </c>
      <c r="G16" s="4">
        <v>82.270912133763005</v>
      </c>
      <c r="H16" s="4">
        <v>74.461631536330501</v>
      </c>
      <c r="I16" s="4">
        <v>66.0128213732566</v>
      </c>
      <c r="J16" s="4">
        <v>67.140497034743007</v>
      </c>
      <c r="K16" s="4">
        <v>71.8212759274641</v>
      </c>
      <c r="L16" s="4">
        <v>75.825185227110893</v>
      </c>
      <c r="M16" s="4">
        <v>73.069230219727004</v>
      </c>
      <c r="N16" s="4">
        <v>80.881641931803003</v>
      </c>
      <c r="O16" s="4">
        <v>84.538102385595295</v>
      </c>
      <c r="P16" s="4">
        <v>91.799505067703606</v>
      </c>
      <c r="Q16" s="4">
        <v>88.561750913223094</v>
      </c>
      <c r="R16" s="4">
        <v>90.933454277348602</v>
      </c>
      <c r="S16" s="4">
        <v>92.436075162627404</v>
      </c>
      <c r="T16" s="4">
        <v>94.720729330853302</v>
      </c>
      <c r="U16" s="4">
        <v>96.508837578256006</v>
      </c>
      <c r="V16" s="4">
        <v>95.080200502797098</v>
      </c>
      <c r="W16" s="4">
        <v>95.456844817367895</v>
      </c>
      <c r="X16" s="4">
        <v>91.904183584509099</v>
      </c>
      <c r="Y16" s="4">
        <v>76.797815401836004</v>
      </c>
      <c r="Z16" s="4">
        <v>79.432498386934597</v>
      </c>
      <c r="AA16" s="4">
        <v>81.128731345991099</v>
      </c>
      <c r="AB16" s="4">
        <v>81.791787135846306</v>
      </c>
      <c r="AC16" s="4">
        <v>83.460090225857499</v>
      </c>
      <c r="AD16" s="4">
        <v>85.446735303313304</v>
      </c>
      <c r="AE16" s="4">
        <v>93.285855108348898</v>
      </c>
      <c r="AF16" s="4">
        <v>95.839878303896299</v>
      </c>
      <c r="AG16" s="4">
        <v>89.264457880736103</v>
      </c>
    </row>
    <row r="17" spans="1:33" x14ac:dyDescent="0.25">
      <c r="A17" s="3">
        <v>14</v>
      </c>
      <c r="B17" s="5" t="s">
        <v>16</v>
      </c>
      <c r="C17" s="4">
        <v>100</v>
      </c>
      <c r="D17" s="4">
        <v>95.494706686115506</v>
      </c>
      <c r="E17" s="4">
        <v>87.798744626529796</v>
      </c>
      <c r="F17" s="4">
        <v>88.546077663532799</v>
      </c>
      <c r="G17" s="4">
        <v>94.772148105681893</v>
      </c>
      <c r="H17" s="4">
        <v>101.20951537616899</v>
      </c>
      <c r="I17" s="4">
        <v>111.269606205434</v>
      </c>
      <c r="J17" s="4">
        <v>115.152962696994</v>
      </c>
      <c r="K17" s="4">
        <v>104.282473955222</v>
      </c>
      <c r="L17" s="4">
        <v>109.466933450311</v>
      </c>
      <c r="M17" s="4">
        <v>117.219709376415</v>
      </c>
      <c r="N17" s="4">
        <v>126.436126728725</v>
      </c>
      <c r="O17" s="4">
        <v>129.30980448719001</v>
      </c>
      <c r="P17" s="4">
        <v>132.85445808327</v>
      </c>
      <c r="Q17" s="4">
        <v>137.59128456522299</v>
      </c>
      <c r="R17" s="4">
        <v>139.30550243621099</v>
      </c>
      <c r="S17" s="4">
        <v>142.09659295625499</v>
      </c>
      <c r="T17" s="4">
        <v>142.102049372691</v>
      </c>
      <c r="U17" s="4">
        <v>141.141125883901</v>
      </c>
      <c r="V17" s="4">
        <v>145.972306497582</v>
      </c>
      <c r="W17" s="4">
        <v>148.25205866379699</v>
      </c>
      <c r="X17" s="4">
        <v>147.56062658710701</v>
      </c>
      <c r="Y17" s="4">
        <v>154.389912908268</v>
      </c>
      <c r="Z17" s="4">
        <v>152.81456417155701</v>
      </c>
      <c r="AA17" s="4">
        <v>151.80580665008401</v>
      </c>
      <c r="AB17" s="4">
        <v>157.022569693169</v>
      </c>
      <c r="AC17" s="4">
        <v>158.30409377745499</v>
      </c>
      <c r="AD17" s="4">
        <v>159.54426419874</v>
      </c>
      <c r="AE17" s="4">
        <v>161.30823259838101</v>
      </c>
      <c r="AF17" s="4">
        <v>164.68394281277199</v>
      </c>
      <c r="AG17" s="4">
        <v>165.33653112060301</v>
      </c>
    </row>
    <row r="18" spans="1:33" x14ac:dyDescent="0.25">
      <c r="A18" s="3">
        <v>15</v>
      </c>
      <c r="B18" s="5" t="s">
        <v>17</v>
      </c>
      <c r="C18" s="4">
        <v>100</v>
      </c>
      <c r="D18" s="4">
        <v>95.645157809576006</v>
      </c>
      <c r="E18" s="4">
        <v>94.952984859945403</v>
      </c>
      <c r="F18" s="4">
        <v>98.747351061029704</v>
      </c>
      <c r="G18" s="4">
        <v>100.388259649045</v>
      </c>
      <c r="H18" s="4">
        <v>107.53327020161601</v>
      </c>
      <c r="I18" s="4">
        <v>119.19027640446301</v>
      </c>
      <c r="J18" s="4">
        <v>129.90391182510501</v>
      </c>
      <c r="K18" s="4">
        <v>121.291323761906</v>
      </c>
      <c r="L18" s="4">
        <v>124.729547226892</v>
      </c>
      <c r="M18" s="4">
        <v>127.04486892397099</v>
      </c>
      <c r="N18" s="4">
        <v>131.78952109810899</v>
      </c>
      <c r="O18" s="4">
        <v>137.61321548557601</v>
      </c>
      <c r="P18" s="4">
        <v>144.19924196795901</v>
      </c>
      <c r="Q18" s="4">
        <v>146.59922636809401</v>
      </c>
      <c r="R18" s="4">
        <v>150.997432447449</v>
      </c>
      <c r="S18" s="4">
        <v>152.02451921678801</v>
      </c>
      <c r="T18" s="4">
        <v>149.68218001915</v>
      </c>
      <c r="U18" s="4">
        <v>147.617199069348</v>
      </c>
      <c r="V18" s="4">
        <v>147.09974038334599</v>
      </c>
      <c r="W18" s="4">
        <v>148.65578192494999</v>
      </c>
      <c r="X18" s="4">
        <v>154.47047587450501</v>
      </c>
      <c r="Y18" s="4">
        <v>152.602816302088</v>
      </c>
      <c r="Z18" s="4">
        <v>157.19947588312201</v>
      </c>
      <c r="AA18" s="4">
        <v>159.81875285210299</v>
      </c>
      <c r="AB18" s="4">
        <v>161.17180294349899</v>
      </c>
      <c r="AC18" s="4">
        <v>162.69641164079701</v>
      </c>
      <c r="AD18" s="4">
        <v>164.45788601470099</v>
      </c>
      <c r="AE18" s="4">
        <v>165.41801102134099</v>
      </c>
      <c r="AF18" s="4">
        <v>168.45933538770299</v>
      </c>
      <c r="AG18" s="4">
        <v>173.51758205575999</v>
      </c>
    </row>
    <row r="19" spans="1:33" x14ac:dyDescent="0.25">
      <c r="A19" s="3">
        <v>16</v>
      </c>
      <c r="B19" s="5" t="s">
        <v>18</v>
      </c>
      <c r="C19" s="4">
        <v>100</v>
      </c>
      <c r="D19" s="4">
        <v>101.10274350200601</v>
      </c>
      <c r="E19" s="4">
        <v>92.748155832545294</v>
      </c>
      <c r="F19" s="4">
        <v>100.41098833399801</v>
      </c>
      <c r="G19" s="4">
        <v>109.236131908023</v>
      </c>
      <c r="H19" s="4">
        <v>111.533849185169</v>
      </c>
      <c r="I19" s="4">
        <v>98.247897065438295</v>
      </c>
      <c r="J19" s="4">
        <v>107.673270635029</v>
      </c>
      <c r="K19" s="4">
        <v>116.47377145949</v>
      </c>
      <c r="L19" s="4">
        <v>119.85702565635</v>
      </c>
      <c r="M19" s="4">
        <v>126.820053520557</v>
      </c>
      <c r="N19" s="4">
        <v>130.38732448753001</v>
      </c>
      <c r="O19" s="4">
        <v>130.46596044664099</v>
      </c>
      <c r="P19" s="4">
        <v>132.786183795379</v>
      </c>
      <c r="Q19" s="4">
        <v>129.58314632318999</v>
      </c>
      <c r="R19" s="4">
        <v>126.002418098992</v>
      </c>
      <c r="S19" s="4">
        <v>136.89063019942799</v>
      </c>
      <c r="T19" s="4">
        <v>146.67580608824301</v>
      </c>
      <c r="U19" s="4">
        <v>154.427113403367</v>
      </c>
      <c r="V19" s="4">
        <v>163.06990821723701</v>
      </c>
      <c r="W19" s="4">
        <v>173.23045221543401</v>
      </c>
      <c r="X19" s="4">
        <v>176.39151478087899</v>
      </c>
      <c r="Y19" s="4">
        <v>175.44120682815</v>
      </c>
      <c r="Z19" s="4">
        <v>183.325333681773</v>
      </c>
      <c r="AA19" s="4">
        <v>184.925362744811</v>
      </c>
      <c r="AB19" s="4">
        <v>189.20780072808199</v>
      </c>
      <c r="AC19" s="4">
        <v>192.86797606082899</v>
      </c>
      <c r="AD19" s="4">
        <v>193.56226526291499</v>
      </c>
      <c r="AE19" s="4">
        <v>196.952095389753</v>
      </c>
      <c r="AF19" s="4">
        <v>202.801941247515</v>
      </c>
      <c r="AG19" s="4">
        <v>205.558564393654</v>
      </c>
    </row>
    <row r="20" spans="1:33" x14ac:dyDescent="0.25">
      <c r="A20" s="3">
        <v>17</v>
      </c>
      <c r="B20" s="5" t="s">
        <v>19</v>
      </c>
      <c r="C20" s="4">
        <v>100</v>
      </c>
      <c r="D20" s="4">
        <v>100.352600762767</v>
      </c>
      <c r="E20" s="4">
        <v>94.609993277191094</v>
      </c>
      <c r="F20" s="4">
        <v>90.700569284386305</v>
      </c>
      <c r="G20" s="4">
        <v>89.414790646679407</v>
      </c>
      <c r="H20" s="4">
        <v>86.849843300713601</v>
      </c>
      <c r="I20" s="4">
        <v>64.646432278405399</v>
      </c>
      <c r="J20" s="4">
        <v>67.796115105918204</v>
      </c>
      <c r="K20" s="4">
        <v>70.208596368171698</v>
      </c>
      <c r="L20" s="4">
        <v>73.052168953627401</v>
      </c>
      <c r="M20" s="4">
        <v>75.758137832171101</v>
      </c>
      <c r="N20" s="4">
        <v>82.065364752027406</v>
      </c>
      <c r="O20" s="4">
        <v>88.567612428354593</v>
      </c>
      <c r="P20" s="4">
        <v>90.051154226213498</v>
      </c>
      <c r="Q20" s="4">
        <v>91.505909920808904</v>
      </c>
      <c r="R20" s="4">
        <v>96.574046260517804</v>
      </c>
      <c r="S20" s="4">
        <v>94.711499985783206</v>
      </c>
      <c r="T20" s="4">
        <v>89.149403170101806</v>
      </c>
      <c r="U20" s="4">
        <v>90.272452009233206</v>
      </c>
      <c r="V20" s="4">
        <v>91.012030285089196</v>
      </c>
      <c r="W20" s="4">
        <v>89.244386991493599</v>
      </c>
      <c r="X20" s="4">
        <v>86.203689068627</v>
      </c>
      <c r="Y20" s="4">
        <v>92.417971658304097</v>
      </c>
      <c r="Z20" s="4">
        <v>89.805680529579604</v>
      </c>
      <c r="AA20" s="4">
        <v>88.289320931686603</v>
      </c>
      <c r="AB20" s="4">
        <v>92.966374371181104</v>
      </c>
      <c r="AC20" s="4">
        <v>94.915679003096997</v>
      </c>
      <c r="AD20" s="4">
        <v>97.702079404116702</v>
      </c>
      <c r="AE20" s="4">
        <v>104.529988770199</v>
      </c>
      <c r="AF20" s="4">
        <v>104.762606135753</v>
      </c>
      <c r="AG20" s="4">
        <v>96.7258607182887</v>
      </c>
    </row>
    <row r="21" spans="1:33" x14ac:dyDescent="0.25">
      <c r="A21" s="3">
        <v>18</v>
      </c>
      <c r="B21" s="5" t="s">
        <v>20</v>
      </c>
      <c r="C21" s="4">
        <v>100</v>
      </c>
      <c r="D21" s="4">
        <v>99.013634893507003</v>
      </c>
      <c r="E21" s="4">
        <v>94.153143166052104</v>
      </c>
      <c r="F21" s="4">
        <v>97.029106411091703</v>
      </c>
      <c r="G21" s="4">
        <v>102.512498345032</v>
      </c>
      <c r="H21" s="4">
        <v>107.995138080563</v>
      </c>
      <c r="I21" s="4">
        <v>109.344529532949</v>
      </c>
      <c r="J21" s="4">
        <v>115.811265884359</v>
      </c>
      <c r="K21" s="4">
        <v>126.317827631393</v>
      </c>
      <c r="L21" s="4">
        <v>131.48028212122401</v>
      </c>
      <c r="M21" s="4">
        <v>134.81806474052701</v>
      </c>
      <c r="N21" s="4">
        <v>134.88941023657199</v>
      </c>
      <c r="O21" s="4">
        <v>138.94448938222001</v>
      </c>
      <c r="P21" s="4">
        <v>145.465205875956</v>
      </c>
      <c r="Q21" s="4">
        <v>144.69427166506199</v>
      </c>
      <c r="R21" s="4">
        <v>146.492790079342</v>
      </c>
      <c r="S21" s="4">
        <v>155.237589404798</v>
      </c>
      <c r="T21" s="4">
        <v>158.925298143502</v>
      </c>
      <c r="U21" s="4">
        <v>158.38183550055501</v>
      </c>
      <c r="V21" s="4">
        <v>163.94180019921399</v>
      </c>
      <c r="W21" s="4">
        <v>170.574227192499</v>
      </c>
      <c r="X21" s="4">
        <v>172.52904619049801</v>
      </c>
      <c r="Y21" s="4">
        <v>165.69015381781901</v>
      </c>
      <c r="Z21" s="4">
        <v>173.76399551402599</v>
      </c>
      <c r="AA21" s="4">
        <v>179.83615960010599</v>
      </c>
      <c r="AB21" s="4">
        <v>175.204451121798</v>
      </c>
      <c r="AC21" s="4">
        <v>178.07785030423599</v>
      </c>
      <c r="AD21" s="4">
        <v>177.83287759646501</v>
      </c>
      <c r="AE21" s="4">
        <v>176.99408520656399</v>
      </c>
      <c r="AF21" s="4">
        <v>182.377717646104</v>
      </c>
      <c r="AG21" s="4">
        <v>193.205464548268</v>
      </c>
    </row>
    <row r="22" spans="1:33" x14ac:dyDescent="0.25">
      <c r="A22" s="3">
        <v>19</v>
      </c>
      <c r="B22" s="5" t="s">
        <v>21</v>
      </c>
      <c r="C22" s="4">
        <v>100</v>
      </c>
      <c r="D22" s="4">
        <v>104.737800869642</v>
      </c>
      <c r="E22" s="4">
        <v>102.232225549994</v>
      </c>
      <c r="F22" s="4">
        <v>102.26991819816701</v>
      </c>
      <c r="G22" s="4">
        <v>109.16868508912199</v>
      </c>
      <c r="H22" s="4">
        <v>114.5418191177</v>
      </c>
      <c r="I22" s="4">
        <v>120.757745413832</v>
      </c>
      <c r="J22" s="4">
        <v>124.702379757315</v>
      </c>
      <c r="K22" s="4">
        <v>129.898966256877</v>
      </c>
      <c r="L22" s="4">
        <v>132.31095447635499</v>
      </c>
      <c r="M22" s="4">
        <v>138.34679548774901</v>
      </c>
      <c r="N22" s="4">
        <v>145.54216263720301</v>
      </c>
      <c r="O22" s="4">
        <v>150.18522736120201</v>
      </c>
      <c r="P22" s="4">
        <v>158.411243558987</v>
      </c>
      <c r="Q22" s="4">
        <v>159.81814289450099</v>
      </c>
      <c r="R22" s="4">
        <v>160.76669579060299</v>
      </c>
      <c r="S22" s="4">
        <v>164.31699165403899</v>
      </c>
      <c r="T22" s="4">
        <v>169.885355871103</v>
      </c>
      <c r="U22" s="4">
        <v>173.87103103510799</v>
      </c>
      <c r="V22" s="4">
        <v>178.295783407941</v>
      </c>
      <c r="W22" s="4">
        <v>184.349908371146</v>
      </c>
      <c r="X22" s="4">
        <v>181.13527744039499</v>
      </c>
      <c r="Y22" s="4">
        <v>175.944277007925</v>
      </c>
      <c r="Z22" s="4">
        <v>180.4757373157</v>
      </c>
      <c r="AA22" s="4">
        <v>187.35472199190201</v>
      </c>
      <c r="AB22" s="4">
        <v>186.62047148792999</v>
      </c>
      <c r="AC22" s="4">
        <v>183.009502714696</v>
      </c>
      <c r="AD22" s="4">
        <v>179.757947621531</v>
      </c>
      <c r="AE22" s="4">
        <v>176.986479622795</v>
      </c>
      <c r="AF22" s="4">
        <v>180.12853404061599</v>
      </c>
      <c r="AG22" s="4">
        <v>189.589812309373</v>
      </c>
    </row>
    <row r="23" spans="1:33" x14ac:dyDescent="0.25">
      <c r="A23" s="3">
        <v>20</v>
      </c>
      <c r="B23" s="5" t="s">
        <v>22</v>
      </c>
      <c r="C23" s="4">
        <v>100</v>
      </c>
      <c r="D23" s="4">
        <v>91.837635929300305</v>
      </c>
      <c r="E23" s="4">
        <v>74.314308195820303</v>
      </c>
      <c r="F23" s="4">
        <v>78.061928489455298</v>
      </c>
      <c r="G23" s="4">
        <v>88.369612987947804</v>
      </c>
      <c r="H23" s="4">
        <v>94.632092216006896</v>
      </c>
      <c r="I23" s="4">
        <v>105.48020852111</v>
      </c>
      <c r="J23" s="4">
        <v>108.66034759617899</v>
      </c>
      <c r="K23" s="4">
        <v>113.213204030318</v>
      </c>
      <c r="L23" s="4">
        <v>113.912070534123</v>
      </c>
      <c r="M23" s="4">
        <v>115.644314977799</v>
      </c>
      <c r="N23" s="4">
        <v>117.601421745566</v>
      </c>
      <c r="O23" s="4">
        <v>120.054148350402</v>
      </c>
      <c r="P23" s="4">
        <v>125.574488734143</v>
      </c>
      <c r="Q23" s="4">
        <v>127.498048559387</v>
      </c>
      <c r="R23" s="4">
        <v>130.89335838249099</v>
      </c>
      <c r="S23" s="4">
        <v>138.12904347730299</v>
      </c>
      <c r="T23" s="4">
        <v>140.59198073621999</v>
      </c>
      <c r="U23" s="4">
        <v>141.25099205562</v>
      </c>
      <c r="V23" s="4">
        <v>136.47869463771099</v>
      </c>
      <c r="W23" s="4">
        <v>138.66568158268501</v>
      </c>
      <c r="X23" s="4">
        <v>141.74055912092101</v>
      </c>
      <c r="Y23" s="4">
        <v>139.36901142710599</v>
      </c>
      <c r="Z23" s="4">
        <v>140.864951185168</v>
      </c>
      <c r="AA23" s="4">
        <v>141.97723259869801</v>
      </c>
      <c r="AB23" s="4">
        <v>143.58577198231399</v>
      </c>
      <c r="AC23" s="4">
        <v>143.01063758923701</v>
      </c>
      <c r="AD23" s="4">
        <v>142.91705398530101</v>
      </c>
      <c r="AE23" s="4">
        <v>140.02383724227801</v>
      </c>
      <c r="AF23" s="4">
        <v>142.04393775421099</v>
      </c>
      <c r="AG23" s="4">
        <v>149.869339341574</v>
      </c>
    </row>
    <row r="24" spans="1:33" x14ac:dyDescent="0.25">
      <c r="A24" s="3">
        <v>21</v>
      </c>
      <c r="B24" s="5" t="s">
        <v>23</v>
      </c>
      <c r="C24" s="4">
        <v>100</v>
      </c>
      <c r="D24" s="4">
        <v>107.310920272434</v>
      </c>
      <c r="E24" s="4">
        <v>109.907509321807</v>
      </c>
      <c r="F24" s="4">
        <v>112.648059851279</v>
      </c>
      <c r="G24" s="4">
        <v>119.532085073213</v>
      </c>
      <c r="H24" s="4">
        <v>130.35087880888099</v>
      </c>
      <c r="I24" s="4">
        <v>147.953672228404</v>
      </c>
      <c r="J24" s="4">
        <v>155.11305236666101</v>
      </c>
      <c r="K24" s="4">
        <v>159.78874569641101</v>
      </c>
      <c r="L24" s="4">
        <v>173.35135809783</v>
      </c>
      <c r="M24" s="4">
        <v>187.642835163488</v>
      </c>
      <c r="N24" s="4">
        <v>197.24403519978799</v>
      </c>
      <c r="O24" s="4">
        <v>208.42696096592601</v>
      </c>
      <c r="P24" s="4">
        <v>218.12275701239099</v>
      </c>
      <c r="Q24" s="4">
        <v>232.523074563536</v>
      </c>
      <c r="R24" s="4">
        <v>242.28553396888</v>
      </c>
      <c r="S24" s="4">
        <v>250.96079710545601</v>
      </c>
      <c r="T24" s="4">
        <v>257.01206199456902</v>
      </c>
      <c r="U24" s="4">
        <v>269.01827091524302</v>
      </c>
      <c r="V24" s="4">
        <v>278.742865174229</v>
      </c>
      <c r="W24" s="4">
        <v>288.736215890354</v>
      </c>
      <c r="X24" s="4">
        <v>295.78897788273201</v>
      </c>
      <c r="Y24" s="4">
        <v>300.48845891213801</v>
      </c>
      <c r="Z24" s="4">
        <v>304.68078367678402</v>
      </c>
      <c r="AA24" s="4">
        <v>320.648079854456</v>
      </c>
      <c r="AB24" s="4">
        <v>323.54304010940803</v>
      </c>
      <c r="AC24" s="4">
        <v>327.66146467816299</v>
      </c>
      <c r="AD24" s="4">
        <v>330.479787593992</v>
      </c>
      <c r="AE24" s="4">
        <v>332.732631837935</v>
      </c>
      <c r="AF24" s="4">
        <v>331.32012237794203</v>
      </c>
      <c r="AG24" s="4">
        <v>340.90522741155502</v>
      </c>
    </row>
    <row r="25" spans="1:33" x14ac:dyDescent="0.25">
      <c r="A25" s="3">
        <v>22</v>
      </c>
      <c r="B25" s="5" t="s">
        <v>24</v>
      </c>
      <c r="C25" s="4">
        <v>100</v>
      </c>
      <c r="D25" s="4">
        <v>98.077430537083899</v>
      </c>
      <c r="E25" s="4">
        <v>87.592747488718203</v>
      </c>
      <c r="F25" s="4">
        <v>86.510307410408004</v>
      </c>
      <c r="G25" s="4">
        <v>92.364129728816295</v>
      </c>
      <c r="H25" s="4">
        <v>101.733435209926</v>
      </c>
      <c r="I25" s="4">
        <v>105.03628028681599</v>
      </c>
      <c r="J25" s="4">
        <v>118.821224245379</v>
      </c>
      <c r="K25" s="4">
        <v>122.951346881055</v>
      </c>
      <c r="L25" s="4">
        <v>128.31938948351501</v>
      </c>
      <c r="M25" s="4">
        <v>121.715775853183</v>
      </c>
      <c r="N25" s="4">
        <v>120.553663620427</v>
      </c>
      <c r="O25" s="4">
        <v>123.33523640565301</v>
      </c>
      <c r="P25" s="4">
        <v>128.86823284799701</v>
      </c>
      <c r="Q25" s="4">
        <v>128.98488174193301</v>
      </c>
      <c r="R25" s="4">
        <v>135.47246235513001</v>
      </c>
      <c r="S25" s="4">
        <v>133.57050695794601</v>
      </c>
      <c r="T25" s="4">
        <v>133.29206804701701</v>
      </c>
      <c r="U25" s="4">
        <v>133.57177943984101</v>
      </c>
      <c r="V25" s="4">
        <v>135.26253037629999</v>
      </c>
      <c r="W25" s="4">
        <v>139.297768665538</v>
      </c>
      <c r="X25" s="4">
        <v>140.94970773564501</v>
      </c>
      <c r="Y25" s="4">
        <v>137.58170563194</v>
      </c>
      <c r="Z25" s="4">
        <v>140.173674878056</v>
      </c>
      <c r="AA25" s="4">
        <v>143.700083092374</v>
      </c>
      <c r="AB25" s="4">
        <v>145.19932862188901</v>
      </c>
      <c r="AC25" s="4">
        <v>146.320386997415</v>
      </c>
      <c r="AD25" s="4">
        <v>146.661886401396</v>
      </c>
      <c r="AE25" s="4">
        <v>147.036617904298</v>
      </c>
      <c r="AF25" s="4">
        <v>147.20478937932501</v>
      </c>
      <c r="AG25" s="4">
        <v>151.90464285534199</v>
      </c>
    </row>
    <row r="26" spans="1:33" x14ac:dyDescent="0.25">
      <c r="A26" s="3">
        <v>23</v>
      </c>
      <c r="B26" s="5" t="s">
        <v>25</v>
      </c>
      <c r="C26" s="4">
        <v>100</v>
      </c>
      <c r="D26" s="4">
        <v>112.294385548458</v>
      </c>
      <c r="E26" s="4">
        <v>116.29769966948</v>
      </c>
      <c r="F26" s="4">
        <v>117.572003761509</v>
      </c>
      <c r="G26" s="4">
        <v>119.45340367438</v>
      </c>
      <c r="H26" s="4">
        <v>123.421570270744</v>
      </c>
      <c r="I26" s="4">
        <v>122.4158291982</v>
      </c>
      <c r="J26" s="4">
        <v>130.848223174867</v>
      </c>
      <c r="K26" s="4">
        <v>136.37598771423501</v>
      </c>
      <c r="L26" s="4">
        <v>137.33505289613501</v>
      </c>
      <c r="M26" s="4">
        <v>142.46953318560301</v>
      </c>
      <c r="N26" s="4">
        <v>148.63515393566701</v>
      </c>
      <c r="O26" s="4">
        <v>154.40133047357301</v>
      </c>
      <c r="P26" s="4">
        <v>162.91628176291101</v>
      </c>
      <c r="Q26" s="4">
        <v>169.775092390341</v>
      </c>
      <c r="R26" s="4">
        <v>175.577916261995</v>
      </c>
      <c r="S26" s="4">
        <v>182.07657340666799</v>
      </c>
      <c r="T26" s="4">
        <v>191.435195419716</v>
      </c>
      <c r="U26" s="4">
        <v>198.33326832927699</v>
      </c>
      <c r="V26" s="4">
        <v>203.53224612902099</v>
      </c>
      <c r="W26" s="4">
        <v>210.042074224576</v>
      </c>
      <c r="X26" s="4">
        <v>214.19011438643699</v>
      </c>
      <c r="Y26" s="4">
        <v>209.76994208363701</v>
      </c>
      <c r="Z26" s="4">
        <v>214.85916126161499</v>
      </c>
      <c r="AA26" s="4">
        <v>223.73153610197201</v>
      </c>
      <c r="AB26" s="4">
        <v>226.82698242572999</v>
      </c>
      <c r="AC26" s="4">
        <v>225.996400940142</v>
      </c>
      <c r="AD26" s="4">
        <v>223.96827360020899</v>
      </c>
      <c r="AE26" s="4">
        <v>220.16788185658999</v>
      </c>
      <c r="AF26" s="4">
        <v>219.58269272163</v>
      </c>
      <c r="AG26" s="4">
        <v>227.17124189686501</v>
      </c>
    </row>
    <row r="27" spans="1:33" x14ac:dyDescent="0.25">
      <c r="A27" s="3">
        <v>24</v>
      </c>
      <c r="B27" s="5" t="s">
        <v>26</v>
      </c>
      <c r="C27" s="4">
        <v>100</v>
      </c>
      <c r="D27" s="4">
        <v>110.716074513054</v>
      </c>
      <c r="E27" s="4">
        <v>112.058125444608</v>
      </c>
      <c r="F27" s="4">
        <v>121.27465648020301</v>
      </c>
      <c r="G27" s="4">
        <v>132.76225548272799</v>
      </c>
      <c r="H27" s="4">
        <v>147.20859477044399</v>
      </c>
      <c r="I27" s="4">
        <v>162.88389346132101</v>
      </c>
      <c r="J27" s="4">
        <v>185.60606415864001</v>
      </c>
      <c r="K27" s="4">
        <v>205.12758793217799</v>
      </c>
      <c r="L27" s="4">
        <v>218.983357189316</v>
      </c>
      <c r="M27" s="4">
        <v>237.52503477090701</v>
      </c>
      <c r="N27" s="4">
        <v>250.852840640587</v>
      </c>
      <c r="O27" s="4">
        <v>260.30549530574802</v>
      </c>
      <c r="P27" s="4">
        <v>275.32130185512199</v>
      </c>
      <c r="Q27" s="4">
        <v>288.58677741911401</v>
      </c>
      <c r="R27" s="4">
        <v>285.02560806108698</v>
      </c>
      <c r="S27" s="4">
        <v>314.36043627701503</v>
      </c>
      <c r="T27" s="4">
        <v>327.98456160068901</v>
      </c>
      <c r="U27" s="4">
        <v>333.41602188631498</v>
      </c>
      <c r="V27" s="4">
        <v>353.924377586209</v>
      </c>
      <c r="W27" s="4">
        <v>378.11995922883102</v>
      </c>
      <c r="X27" s="4">
        <v>376.23550675448098</v>
      </c>
      <c r="Y27" s="4">
        <v>350.944945139928</v>
      </c>
      <c r="Z27" s="4">
        <v>361.10222403930101</v>
      </c>
      <c r="AA27" s="4">
        <v>360.18512865547399</v>
      </c>
      <c r="AB27" s="4">
        <v>339.84606127809298</v>
      </c>
      <c r="AC27" s="4">
        <v>343.81721979571802</v>
      </c>
      <c r="AD27" s="4">
        <v>346.03818300664898</v>
      </c>
      <c r="AE27" s="4">
        <v>344.077052889649</v>
      </c>
      <c r="AF27" s="4">
        <v>344.83958328085498</v>
      </c>
      <c r="AG27" s="4">
        <v>355.888985435265</v>
      </c>
    </row>
    <row r="28" spans="1:33" x14ac:dyDescent="0.25">
      <c r="A28" s="3">
        <v>25</v>
      </c>
      <c r="B28" s="5" t="s">
        <v>27</v>
      </c>
      <c r="C28" s="4">
        <v>100</v>
      </c>
      <c r="D28" s="4">
        <v>110.43382705653499</v>
      </c>
      <c r="E28" s="4">
        <v>113.141261677895</v>
      </c>
      <c r="F28" s="4">
        <v>106.023750588607</v>
      </c>
      <c r="G28" s="4">
        <v>100.565282756112</v>
      </c>
      <c r="H28" s="4">
        <v>103.961584894589</v>
      </c>
      <c r="I28" s="4">
        <v>90.656370506646496</v>
      </c>
      <c r="J28" s="4">
        <v>76.689948125097402</v>
      </c>
      <c r="K28" s="4">
        <v>76.242254079067905</v>
      </c>
      <c r="L28" s="4">
        <v>73.340198201077399</v>
      </c>
      <c r="M28" s="4">
        <v>64.036724619077404</v>
      </c>
      <c r="N28" s="4">
        <v>62.305163843117903</v>
      </c>
      <c r="O28" s="4">
        <v>63.753229530789298</v>
      </c>
      <c r="P28" s="4">
        <v>64.101148764336699</v>
      </c>
      <c r="Q28" s="4">
        <v>65.447240702426996</v>
      </c>
      <c r="R28" s="4">
        <v>67.681591213860102</v>
      </c>
      <c r="S28" s="4">
        <v>65.914225975182703</v>
      </c>
      <c r="T28" s="4">
        <v>69.167526766465002</v>
      </c>
      <c r="U28" s="4">
        <v>71.897974450632105</v>
      </c>
      <c r="V28" s="4">
        <v>72.071401963342694</v>
      </c>
      <c r="W28" s="4">
        <v>73.0092784521499</v>
      </c>
      <c r="X28" s="4">
        <v>69.097774883890807</v>
      </c>
      <c r="Y28" s="4">
        <v>66.082110041883595</v>
      </c>
      <c r="Z28" s="4">
        <v>67.614407301004604</v>
      </c>
      <c r="AA28" s="4">
        <v>72.856639960634297</v>
      </c>
      <c r="AB28" s="4">
        <v>72.289600591115104</v>
      </c>
      <c r="AC28" s="4">
        <v>70.395068970493199</v>
      </c>
      <c r="AD28" s="4">
        <v>66.693671286623996</v>
      </c>
      <c r="AE28" s="4">
        <v>63.746993734307701</v>
      </c>
      <c r="AF28" s="4">
        <v>63.866376740566899</v>
      </c>
      <c r="AG28" s="4">
        <v>67.405126555427003</v>
      </c>
    </row>
    <row r="29" spans="1:33" x14ac:dyDescent="0.25">
      <c r="A29" s="3">
        <v>26</v>
      </c>
      <c r="B29" s="5" t="s">
        <v>28</v>
      </c>
      <c r="C29" s="4">
        <v>100</v>
      </c>
      <c r="D29" s="4">
        <v>100.837103247481</v>
      </c>
      <c r="E29" s="4">
        <v>105.696321627028</v>
      </c>
      <c r="F29" s="4">
        <v>103.05413907118999</v>
      </c>
      <c r="G29" s="4">
        <v>105.91596620254499</v>
      </c>
      <c r="H29" s="4">
        <v>107.40651770272</v>
      </c>
      <c r="I29" s="4">
        <v>105.47498553597001</v>
      </c>
      <c r="J29" s="4">
        <v>104.236422434394</v>
      </c>
      <c r="K29" s="4">
        <v>103.403387195703</v>
      </c>
      <c r="L29" s="4">
        <v>98.9090288617098</v>
      </c>
      <c r="M29" s="4">
        <v>97.054297608474201</v>
      </c>
      <c r="N29" s="4">
        <v>95.922712186832797</v>
      </c>
      <c r="O29" s="4">
        <v>93.568834614872202</v>
      </c>
      <c r="P29" s="4">
        <v>92.360727542264797</v>
      </c>
      <c r="Q29" s="4">
        <v>90.950928815629496</v>
      </c>
      <c r="R29" s="4">
        <v>89.379278273356505</v>
      </c>
      <c r="S29" s="4">
        <v>90.249711094019901</v>
      </c>
      <c r="T29" s="4">
        <v>91.8498606927091</v>
      </c>
      <c r="U29" s="4">
        <v>94.833350727669895</v>
      </c>
      <c r="V29" s="4">
        <v>98.100563604461598</v>
      </c>
      <c r="W29" s="4">
        <v>98.944768078332999</v>
      </c>
      <c r="X29" s="4">
        <v>96.342037592268198</v>
      </c>
      <c r="Y29" s="4">
        <v>93.791702241517498</v>
      </c>
      <c r="Z29" s="4">
        <v>93.831687239635897</v>
      </c>
      <c r="AA29" s="4">
        <v>91.836359361626094</v>
      </c>
      <c r="AB29" s="4">
        <v>89.680566547963707</v>
      </c>
      <c r="AC29" s="4">
        <v>89.204354326948703</v>
      </c>
      <c r="AD29" s="4">
        <v>88.239173613612607</v>
      </c>
      <c r="AE29" s="4">
        <v>87.748394703829902</v>
      </c>
      <c r="AF29" s="4">
        <v>88.420283871288902</v>
      </c>
      <c r="AG29" s="4">
        <v>88.320368902410394</v>
      </c>
    </row>
    <row r="30" spans="1:33" x14ac:dyDescent="0.25">
      <c r="A30" s="3">
        <v>27</v>
      </c>
      <c r="B30" s="5" t="s">
        <v>29</v>
      </c>
      <c r="C30" s="4">
        <v>100</v>
      </c>
      <c r="D30" s="4">
        <v>97.033197808904603</v>
      </c>
      <c r="E30" s="4">
        <v>90.132705764244804</v>
      </c>
      <c r="F30" s="4">
        <v>99.868785655641005</v>
      </c>
      <c r="G30" s="4">
        <v>90.543914202903295</v>
      </c>
      <c r="H30" s="4">
        <v>87.976519690994806</v>
      </c>
      <c r="I30" s="4">
        <v>95.207903147975998</v>
      </c>
      <c r="J30" s="4">
        <v>92.309433831436294</v>
      </c>
      <c r="K30" s="4">
        <v>90.632578885530904</v>
      </c>
      <c r="L30" s="4">
        <v>86.043028377885506</v>
      </c>
      <c r="M30" s="4">
        <v>85.407291052900803</v>
      </c>
      <c r="N30" s="4">
        <v>79.794304966691499</v>
      </c>
      <c r="O30" s="4">
        <v>78.358999938269505</v>
      </c>
      <c r="P30" s="4">
        <v>77.553238370517604</v>
      </c>
      <c r="Q30" s="4">
        <v>75.693198878733696</v>
      </c>
      <c r="R30" s="4">
        <v>73.162681152385204</v>
      </c>
      <c r="S30" s="4">
        <v>73.321454247908093</v>
      </c>
      <c r="T30" s="4">
        <v>74.163993470201305</v>
      </c>
      <c r="U30" s="4">
        <v>75.436631674155294</v>
      </c>
      <c r="V30" s="4">
        <v>81.838745054757297</v>
      </c>
      <c r="W30" s="4">
        <v>86.057033122568299</v>
      </c>
      <c r="X30" s="4">
        <v>91.810145509498</v>
      </c>
      <c r="Y30" s="4">
        <v>90.159049091298598</v>
      </c>
      <c r="Z30" s="4">
        <v>91.666070412035495</v>
      </c>
      <c r="AA30" s="4">
        <v>91.853101947339098</v>
      </c>
      <c r="AB30" s="4">
        <v>93.052104255321694</v>
      </c>
      <c r="AC30" s="4">
        <v>96.906911678079794</v>
      </c>
      <c r="AD30" s="4">
        <v>95.886037615613304</v>
      </c>
      <c r="AE30" s="4">
        <v>94.953171178460707</v>
      </c>
      <c r="AF30" s="4">
        <v>96.490942624743298</v>
      </c>
      <c r="AG30" s="4">
        <v>97.582449435147495</v>
      </c>
    </row>
    <row r="31" spans="1:33" x14ac:dyDescent="0.25">
      <c r="A31" s="3">
        <v>28</v>
      </c>
      <c r="B31" s="5" t="s">
        <v>30</v>
      </c>
      <c r="C31" s="4">
        <v>100</v>
      </c>
      <c r="D31" s="4">
        <v>101.46559105807</v>
      </c>
      <c r="E31" s="4">
        <v>95.729994108580996</v>
      </c>
      <c r="F31" s="4">
        <v>88.626870221842793</v>
      </c>
      <c r="G31" s="4">
        <v>98.662882948669903</v>
      </c>
      <c r="H31" s="4">
        <v>102.60206618552699</v>
      </c>
      <c r="I31" s="4">
        <v>107.11511133989499</v>
      </c>
      <c r="J31" s="4">
        <v>105.94033908205</v>
      </c>
      <c r="K31" s="4">
        <v>102.116908079586</v>
      </c>
      <c r="L31" s="4">
        <v>99.660897525504296</v>
      </c>
      <c r="M31" s="4">
        <v>99.299444376269705</v>
      </c>
      <c r="N31" s="4">
        <v>96.840288376243706</v>
      </c>
      <c r="O31" s="4">
        <v>95.860593579733106</v>
      </c>
      <c r="P31" s="4">
        <v>95.166769577879506</v>
      </c>
      <c r="Q31" s="4">
        <v>97.023691904332594</v>
      </c>
      <c r="R31" s="4">
        <v>96.984115985967193</v>
      </c>
      <c r="S31" s="4">
        <v>98.598674172465394</v>
      </c>
      <c r="T31" s="4">
        <v>102.09177898553401</v>
      </c>
      <c r="U31" s="4">
        <v>101.995686493916</v>
      </c>
      <c r="V31" s="4">
        <v>106.000993151028</v>
      </c>
      <c r="W31" s="4">
        <v>109.996865765674</v>
      </c>
      <c r="X31" s="4">
        <v>107.306173647721</v>
      </c>
      <c r="Y31" s="4">
        <v>98.167519082972703</v>
      </c>
      <c r="Z31" s="4">
        <v>100.58340543567201</v>
      </c>
      <c r="AA31" s="4">
        <v>99.282443486395195</v>
      </c>
      <c r="AB31" s="4">
        <v>95.217257494996701</v>
      </c>
      <c r="AC31" s="4">
        <v>95.826871401890003</v>
      </c>
      <c r="AD31" s="4">
        <v>92.7276964181913</v>
      </c>
      <c r="AE31" s="4">
        <v>88.430530982092705</v>
      </c>
      <c r="AF31" s="4">
        <v>86.099232929857195</v>
      </c>
      <c r="AG31" s="4">
        <v>83.986252485006602</v>
      </c>
    </row>
    <row r="32" spans="1:33" x14ac:dyDescent="0.25">
      <c r="A32" s="3">
        <v>29</v>
      </c>
      <c r="B32" s="5" t="s">
        <v>31</v>
      </c>
      <c r="C32" s="4">
        <v>100</v>
      </c>
      <c r="D32" s="4">
        <v>103.225767832125</v>
      </c>
      <c r="E32" s="4">
        <v>94.087038616075702</v>
      </c>
      <c r="F32" s="4">
        <v>77.898829443598402</v>
      </c>
      <c r="G32" s="4">
        <v>83.401488241289897</v>
      </c>
      <c r="H32" s="4">
        <v>82.381800487979007</v>
      </c>
      <c r="I32" s="4">
        <v>77.645545522176604</v>
      </c>
      <c r="J32" s="4">
        <v>74.024302221771407</v>
      </c>
      <c r="K32" s="4">
        <v>70.146826659682503</v>
      </c>
      <c r="L32" s="4">
        <v>61.524588588310898</v>
      </c>
      <c r="M32" s="4">
        <v>58.840435629348697</v>
      </c>
      <c r="N32" s="4">
        <v>58.390881363100497</v>
      </c>
      <c r="O32" s="4">
        <v>57.385580027258598</v>
      </c>
      <c r="P32" s="4">
        <v>57.317589855454699</v>
      </c>
      <c r="Q32" s="4">
        <v>57.174237227303202</v>
      </c>
      <c r="R32" s="4">
        <v>56.491907508592298</v>
      </c>
      <c r="S32" s="4">
        <v>56.500082229622301</v>
      </c>
      <c r="T32" s="4">
        <v>58.8890210991025</v>
      </c>
      <c r="U32" s="4">
        <v>59.561751209137</v>
      </c>
      <c r="V32" s="4">
        <v>59.776322747986903</v>
      </c>
      <c r="W32" s="4">
        <v>62.381818696258399</v>
      </c>
      <c r="X32" s="4">
        <v>63.334110565232599</v>
      </c>
      <c r="Y32" s="4">
        <v>60.248613117837998</v>
      </c>
      <c r="Z32" s="4">
        <v>59.784326357798399</v>
      </c>
      <c r="AA32" s="4">
        <v>60.496386637824898</v>
      </c>
      <c r="AB32" s="4">
        <v>59.8635351649691</v>
      </c>
      <c r="AC32" s="4">
        <v>59.011079516401999</v>
      </c>
      <c r="AD32" s="4">
        <v>58.876743605557301</v>
      </c>
      <c r="AE32" s="4">
        <v>59.851000507426498</v>
      </c>
      <c r="AF32" s="4">
        <v>62.159756981493203</v>
      </c>
      <c r="AG32" s="4">
        <v>64.128900877032294</v>
      </c>
    </row>
    <row r="33" spans="1:33" x14ac:dyDescent="0.25">
      <c r="A33" s="3">
        <v>30</v>
      </c>
      <c r="B33" s="5" t="s">
        <v>32</v>
      </c>
      <c r="C33" s="4">
        <v>100</v>
      </c>
      <c r="D33" s="4">
        <v>109.776331436313</v>
      </c>
      <c r="E33" s="4">
        <v>121.768202836813</v>
      </c>
      <c r="F33" s="4">
        <v>92.636326990712902</v>
      </c>
      <c r="G33" s="4">
        <v>56.735171084957599</v>
      </c>
      <c r="H33" s="4">
        <v>57.679799585948501</v>
      </c>
      <c r="I33" s="4">
        <v>61.608277508027399</v>
      </c>
      <c r="J33" s="4">
        <v>63.2238657744332</v>
      </c>
      <c r="K33" s="4">
        <v>63.5537591482435</v>
      </c>
      <c r="L33" s="4">
        <v>63.4011529840053</v>
      </c>
      <c r="M33" s="4">
        <v>35.716422190756703</v>
      </c>
      <c r="N33" s="4">
        <v>31.962938386120101</v>
      </c>
      <c r="O33" s="4">
        <v>25.027468354778801</v>
      </c>
      <c r="P33" s="4">
        <v>24.458517933025998</v>
      </c>
      <c r="Q33" s="4">
        <v>23.920372310239799</v>
      </c>
      <c r="R33" s="4">
        <v>23.2414283245141</v>
      </c>
      <c r="S33" s="4">
        <v>22.917913332850802</v>
      </c>
      <c r="T33" s="4">
        <v>24.192080811501899</v>
      </c>
      <c r="U33" s="4">
        <v>25.857414870106702</v>
      </c>
      <c r="V33" s="4">
        <v>27.159904674464201</v>
      </c>
      <c r="W33" s="4">
        <v>29.330452555835201</v>
      </c>
      <c r="X33" s="4">
        <v>31.943746786314801</v>
      </c>
      <c r="Y33" s="4">
        <v>32.020233103787703</v>
      </c>
      <c r="Z33" s="4">
        <v>33.698370633170001</v>
      </c>
      <c r="AA33" s="4">
        <v>37.240699049043698</v>
      </c>
      <c r="AB33" s="4">
        <v>39.396789598796303</v>
      </c>
      <c r="AC33" s="4">
        <v>39.7752943494623</v>
      </c>
      <c r="AD33" s="4">
        <v>39.918834260137103</v>
      </c>
      <c r="AE33" s="4">
        <v>41.471942391281601</v>
      </c>
      <c r="AF33" s="4">
        <v>43.5645194601261</v>
      </c>
      <c r="AG33" s="4">
        <v>46.343429608010602</v>
      </c>
    </row>
    <row r="34" spans="1:33" x14ac:dyDescent="0.25">
      <c r="A34" s="3">
        <v>31</v>
      </c>
      <c r="B34" s="5" t="s">
        <v>33</v>
      </c>
      <c r="C34" s="4">
        <v>100</v>
      </c>
      <c r="D34" s="4">
        <v>85.808779202345804</v>
      </c>
      <c r="E34" s="4">
        <v>84.729988567916095</v>
      </c>
      <c r="F34" s="4">
        <v>65.700026716903096</v>
      </c>
      <c r="G34" s="4">
        <v>54.787992706736802</v>
      </c>
      <c r="H34" s="4">
        <v>51.609729740615101</v>
      </c>
      <c r="I34" s="4">
        <v>47.103413711399298</v>
      </c>
      <c r="J34" s="4">
        <v>50.0977077914144</v>
      </c>
      <c r="K34" s="4">
        <v>47.739363518865403</v>
      </c>
      <c r="L34" s="4">
        <v>40.338788733686997</v>
      </c>
      <c r="M34" s="4">
        <v>35.349623484325903</v>
      </c>
      <c r="N34" s="4">
        <v>32.522650162735701</v>
      </c>
      <c r="O34" s="4">
        <v>29.804879937588598</v>
      </c>
      <c r="P34" s="4">
        <v>29.2139323015003</v>
      </c>
      <c r="Q34" s="4">
        <v>29.883170407912299</v>
      </c>
      <c r="R34" s="4">
        <v>30.487017878945299</v>
      </c>
      <c r="S34" s="4">
        <v>34.302238331294902</v>
      </c>
      <c r="T34" s="4">
        <v>35.9077704033012</v>
      </c>
      <c r="U34" s="4">
        <v>42.1836555861085</v>
      </c>
      <c r="V34" s="4">
        <v>47.927269067898699</v>
      </c>
      <c r="W34" s="4">
        <v>55.516481310391903</v>
      </c>
      <c r="X34" s="4">
        <v>57.1823177162292</v>
      </c>
      <c r="Y34" s="4">
        <v>57.848783175763899</v>
      </c>
      <c r="Z34" s="4">
        <v>60.352050212231802</v>
      </c>
      <c r="AA34" s="4">
        <v>60.252507116791499</v>
      </c>
      <c r="AB34" s="4">
        <v>60.994959374811799</v>
      </c>
      <c r="AC34" s="4">
        <v>58.920276259164503</v>
      </c>
      <c r="AD34" s="4">
        <v>54.945625581828303</v>
      </c>
      <c r="AE34" s="4">
        <v>54.489659433464098</v>
      </c>
      <c r="AF34" s="4">
        <v>53.195710422688002</v>
      </c>
      <c r="AG34" s="4">
        <v>52.9002661932603</v>
      </c>
    </row>
    <row r="35" spans="1:33" x14ac:dyDescent="0.25">
      <c r="A35" s="3">
        <v>32</v>
      </c>
      <c r="B35" s="5" t="s">
        <v>34</v>
      </c>
      <c r="C35" s="4">
        <v>100</v>
      </c>
      <c r="D35" s="4">
        <v>106.455624447158</v>
      </c>
      <c r="E35" s="4">
        <v>123.831801458275</v>
      </c>
      <c r="F35" s="4">
        <v>126.43836170975401</v>
      </c>
      <c r="G35" s="4">
        <v>126.98338953096599</v>
      </c>
      <c r="H35" s="4">
        <v>123.67614089687299</v>
      </c>
      <c r="I35" s="4">
        <v>110.11171348242399</v>
      </c>
      <c r="J35" s="4">
        <v>128.038380293953</v>
      </c>
      <c r="K35" s="4">
        <v>137.71303122791201</v>
      </c>
      <c r="L35" s="4">
        <v>127.371418151744</v>
      </c>
      <c r="M35" s="4">
        <v>125.818658922534</v>
      </c>
      <c r="N35" s="4">
        <v>137.996868478918</v>
      </c>
      <c r="O35" s="4">
        <v>147.95679293097101</v>
      </c>
      <c r="P35" s="4">
        <v>152.76226009648499</v>
      </c>
      <c r="Q35" s="4">
        <v>160.841945763024</v>
      </c>
      <c r="R35" s="4">
        <v>160.73155193460801</v>
      </c>
      <c r="S35" s="4">
        <v>161.75177339212101</v>
      </c>
      <c r="T35" s="4">
        <v>133.18255444678999</v>
      </c>
      <c r="U35" s="4">
        <v>164.550282478409</v>
      </c>
      <c r="V35" s="4">
        <v>161.02067379338101</v>
      </c>
      <c r="W35" s="4">
        <v>152.04960291501499</v>
      </c>
      <c r="X35" s="4">
        <v>170.35907892970101</v>
      </c>
      <c r="Y35" s="4">
        <v>130.904647336127</v>
      </c>
      <c r="Z35" s="4">
        <v>130.24029272842401</v>
      </c>
      <c r="AA35" s="4">
        <v>128.12553185418801</v>
      </c>
      <c r="AB35" s="4">
        <v>118.011846361864</v>
      </c>
      <c r="AC35" s="4">
        <v>110.801146064606</v>
      </c>
      <c r="AD35" s="4">
        <v>111.914005364481</v>
      </c>
      <c r="AE35" s="4">
        <v>108.333863861037</v>
      </c>
      <c r="AF35" s="4">
        <v>92.300098984012294</v>
      </c>
      <c r="AG35" s="4">
        <v>89.002612110553002</v>
      </c>
    </row>
    <row r="36" spans="1:33" x14ac:dyDescent="0.25">
      <c r="A36" s="3">
        <v>33</v>
      </c>
      <c r="B36" s="5" t="s">
        <v>35</v>
      </c>
      <c r="C36" s="4">
        <v>100</v>
      </c>
      <c r="D36" s="4">
        <v>108.06804998677499</v>
      </c>
      <c r="E36" s="4">
        <v>119.850425636056</v>
      </c>
      <c r="F36" s="4">
        <v>97.982059325343101</v>
      </c>
      <c r="G36" s="4">
        <v>89.923009328431903</v>
      </c>
      <c r="H36" s="4">
        <v>90.180924443786495</v>
      </c>
      <c r="I36" s="4">
        <v>81.882409354367795</v>
      </c>
      <c r="J36" s="4">
        <v>85.039757885839705</v>
      </c>
      <c r="K36" s="4">
        <v>81.501749881076506</v>
      </c>
      <c r="L36" s="4">
        <v>69.172379596001605</v>
      </c>
      <c r="M36" s="4">
        <v>59.8366510424732</v>
      </c>
      <c r="N36" s="4">
        <v>61.585779864952201</v>
      </c>
      <c r="O36" s="4">
        <v>59.848398221280299</v>
      </c>
      <c r="P36" s="4">
        <v>57.3991865389469</v>
      </c>
      <c r="Q36" s="4">
        <v>59.222677057143997</v>
      </c>
      <c r="R36" s="4">
        <v>57.968127183233896</v>
      </c>
      <c r="S36" s="4">
        <v>57.036021314928902</v>
      </c>
      <c r="T36" s="4">
        <v>53.767985449394601</v>
      </c>
      <c r="U36" s="4">
        <v>57.603773662376199</v>
      </c>
      <c r="V36" s="4">
        <v>56.869696629698701</v>
      </c>
      <c r="W36" s="4">
        <v>57.215514700159197</v>
      </c>
      <c r="X36" s="4">
        <v>58.355151033945901</v>
      </c>
      <c r="Y36" s="4">
        <v>54.194175518230402</v>
      </c>
      <c r="Z36" s="4">
        <v>52.366301810505902</v>
      </c>
      <c r="AA36" s="4">
        <v>52.847213821150604</v>
      </c>
      <c r="AB36" s="4">
        <v>51.658456480116698</v>
      </c>
      <c r="AC36" s="4">
        <v>50.301279880815798</v>
      </c>
      <c r="AD36" s="4">
        <v>48.025942747279899</v>
      </c>
      <c r="AE36" s="4">
        <v>46.487537503920699</v>
      </c>
      <c r="AF36" s="4">
        <v>44.828891736681697</v>
      </c>
      <c r="AG36" s="4">
        <v>44.544681568746398</v>
      </c>
    </row>
    <row r="37" spans="1:33" x14ac:dyDescent="0.25">
      <c r="A37" s="3">
        <v>34</v>
      </c>
      <c r="B37" s="5" t="s">
        <v>36</v>
      </c>
      <c r="C37" s="4">
        <v>100</v>
      </c>
      <c r="D37" s="4">
        <v>104.881252752075</v>
      </c>
      <c r="E37" s="4">
        <v>106.646262279027</v>
      </c>
      <c r="F37" s="4">
        <v>115.75923655204301</v>
      </c>
      <c r="G37" s="4">
        <v>132.78330877929801</v>
      </c>
      <c r="H37" s="4">
        <v>147.225793410926</v>
      </c>
      <c r="I37" s="4">
        <v>166.12997999470701</v>
      </c>
      <c r="J37" s="4">
        <v>151.01726531548999</v>
      </c>
      <c r="K37" s="4">
        <v>149.931637603224</v>
      </c>
      <c r="L37" s="4">
        <v>150.82055390978701</v>
      </c>
      <c r="M37" s="4">
        <v>162.57565087530199</v>
      </c>
      <c r="N37" s="4">
        <v>174.809005886823</v>
      </c>
      <c r="O37" s="4">
        <v>185.161298402027</v>
      </c>
      <c r="P37" s="4">
        <v>195.535505803961</v>
      </c>
      <c r="Q37" s="4">
        <v>201.899991693804</v>
      </c>
      <c r="R37" s="4">
        <v>185.25887852430299</v>
      </c>
      <c r="S37" s="4">
        <v>163.060266833708</v>
      </c>
      <c r="T37" s="4">
        <v>147.253318574525</v>
      </c>
      <c r="U37" s="4">
        <v>132.517306713783</v>
      </c>
      <c r="V37" s="4">
        <v>115.721080743176</v>
      </c>
      <c r="W37" s="4">
        <v>102.095076229784</v>
      </c>
      <c r="X37" s="4">
        <v>91.978471825178204</v>
      </c>
      <c r="Y37" s="4">
        <v>80.868387586706902</v>
      </c>
      <c r="Z37" s="4">
        <v>67.367135235022403</v>
      </c>
      <c r="AA37" s="4">
        <v>57.904602486593397</v>
      </c>
      <c r="AB37" s="4">
        <v>53.367644406534303</v>
      </c>
      <c r="AC37" s="4">
        <v>42.2461150293271</v>
      </c>
      <c r="AD37" s="4">
        <v>38.438938675443097</v>
      </c>
      <c r="AE37" s="4">
        <v>37.011388423222201</v>
      </c>
      <c r="AF37" s="4">
        <v>36.516300804108802</v>
      </c>
      <c r="AG37" s="4">
        <v>35.410814784919999</v>
      </c>
    </row>
    <row r="38" spans="1:33" x14ac:dyDescent="0.25">
      <c r="A38" s="3">
        <v>35</v>
      </c>
      <c r="B38" s="5" t="s">
        <v>37</v>
      </c>
      <c r="C38" s="4">
        <v>100</v>
      </c>
      <c r="D38" s="4">
        <v>83.145991619603095</v>
      </c>
      <c r="E38" s="4">
        <v>59.587779438155899</v>
      </c>
      <c r="F38" s="4">
        <v>57.552385043990199</v>
      </c>
      <c r="G38" s="4">
        <v>58.638258067990201</v>
      </c>
      <c r="H38" s="4">
        <v>53.491443380487297</v>
      </c>
      <c r="I38" s="4">
        <v>54.983440550161298</v>
      </c>
      <c r="J38" s="4">
        <v>43.563142296905497</v>
      </c>
      <c r="K38" s="4">
        <v>36.0211850816831</v>
      </c>
      <c r="L38" s="4">
        <v>33.238932939436502</v>
      </c>
      <c r="M38" s="4">
        <v>31.635359321967201</v>
      </c>
      <c r="N38" s="4">
        <v>30.3900196661418</v>
      </c>
      <c r="O38" s="4">
        <v>27.401309025297198</v>
      </c>
      <c r="P38" s="4">
        <v>22.942002172464001</v>
      </c>
      <c r="Q38" s="4">
        <v>21.594855455276502</v>
      </c>
      <c r="R38" s="4">
        <v>20.320818258928899</v>
      </c>
      <c r="S38" s="4">
        <v>18.498357056374399</v>
      </c>
      <c r="T38" s="4">
        <v>16.728578991394301</v>
      </c>
      <c r="U38" s="4">
        <v>15.426649230414201</v>
      </c>
      <c r="V38" s="4">
        <v>13.834585356339099</v>
      </c>
      <c r="W38" s="4">
        <v>12.4135411723153</v>
      </c>
      <c r="X38" s="4">
        <v>11.374149164525299</v>
      </c>
      <c r="Y38" s="4">
        <v>10.294369634149</v>
      </c>
      <c r="Z38" s="4">
        <v>8.8113707046528305</v>
      </c>
      <c r="AA38" s="4">
        <v>7.7831343574291498</v>
      </c>
      <c r="AB38" s="4">
        <v>7.36114009647385</v>
      </c>
      <c r="AC38" s="4">
        <v>5.9830647236973498</v>
      </c>
      <c r="AD38" s="4">
        <v>5.4401476700945697</v>
      </c>
      <c r="AE38" s="4">
        <v>5.3345519134389896</v>
      </c>
      <c r="AF38" s="4">
        <v>5.3054735381043399</v>
      </c>
      <c r="AG38" s="4">
        <v>5.1788873721237403</v>
      </c>
    </row>
    <row r="39" spans="1:33" x14ac:dyDescent="0.25">
      <c r="A39" s="3">
        <v>36</v>
      </c>
      <c r="B39" s="5" t="s">
        <v>38</v>
      </c>
      <c r="C39" s="4">
        <v>100</v>
      </c>
      <c r="D39" s="4">
        <v>101.887127211218</v>
      </c>
      <c r="E39" s="4">
        <v>99.320371605858597</v>
      </c>
      <c r="F39" s="4">
        <v>92.777883659194899</v>
      </c>
      <c r="G39" s="4">
        <v>92.379874266525306</v>
      </c>
      <c r="H39" s="4">
        <v>91.721861839228197</v>
      </c>
      <c r="I39" s="4">
        <v>80.241906818934396</v>
      </c>
      <c r="J39" s="4">
        <v>76.409069394350098</v>
      </c>
      <c r="K39" s="4">
        <v>80.591630902127207</v>
      </c>
      <c r="L39" s="4">
        <v>74.956487541166098</v>
      </c>
      <c r="M39" s="4">
        <v>62.417315652091503</v>
      </c>
      <c r="N39" s="4">
        <v>55.141408879266798</v>
      </c>
      <c r="O39" s="4">
        <v>51.146211027624197</v>
      </c>
      <c r="P39" s="4">
        <v>48.427249239654898</v>
      </c>
      <c r="Q39" s="4">
        <v>45.176406312061197</v>
      </c>
      <c r="R39" s="4">
        <v>41.580313966550001</v>
      </c>
      <c r="S39" s="4">
        <v>37.847441096915396</v>
      </c>
      <c r="T39" s="4">
        <v>34.628814636130699</v>
      </c>
      <c r="U39" s="4">
        <v>31.2398335192871</v>
      </c>
      <c r="V39" s="4">
        <v>27.080532021255699</v>
      </c>
      <c r="W39" s="4">
        <v>23.438737531107702</v>
      </c>
      <c r="X39" s="4">
        <v>21.237973114768</v>
      </c>
      <c r="Y39" s="4">
        <v>18.239437287149698</v>
      </c>
      <c r="Z39" s="4">
        <v>15.922137960812</v>
      </c>
      <c r="AA39" s="4">
        <v>13.632746909617699</v>
      </c>
      <c r="AB39" s="4">
        <v>11.9254155730166</v>
      </c>
      <c r="AC39" s="4">
        <v>9.1463284988528208</v>
      </c>
      <c r="AD39" s="4">
        <v>8.2126871565945692</v>
      </c>
      <c r="AE39" s="4">
        <v>7.6341753558248504</v>
      </c>
      <c r="AF39" s="4">
        <v>7.3472314364395697</v>
      </c>
      <c r="AG39" s="4">
        <v>7.2287066608345398</v>
      </c>
    </row>
    <row r="40" spans="1:33" x14ac:dyDescent="0.25">
      <c r="A40" s="3">
        <v>37</v>
      </c>
      <c r="B40" s="6" t="s">
        <v>39</v>
      </c>
      <c r="C40" s="4">
        <v>100</v>
      </c>
      <c r="D40" s="4">
        <v>95.486155720949697</v>
      </c>
      <c r="E40" s="4">
        <v>98.421138782689397</v>
      </c>
      <c r="F40" s="4">
        <v>91.108604687967997</v>
      </c>
      <c r="G40" s="4">
        <v>86.005419337492</v>
      </c>
      <c r="H40" s="4">
        <v>84.379640002265006</v>
      </c>
      <c r="I40" s="4">
        <v>83.425355163311707</v>
      </c>
      <c r="J40" s="4">
        <v>89.048014757808104</v>
      </c>
      <c r="K40" s="4">
        <v>86.027880388169194</v>
      </c>
      <c r="L40" s="4">
        <v>77.1393683152818</v>
      </c>
      <c r="M40" s="4">
        <v>77.099339361367797</v>
      </c>
      <c r="N40" s="4">
        <v>69.4784303418745</v>
      </c>
      <c r="O40" s="4">
        <v>62.767457034494299</v>
      </c>
      <c r="P40" s="4">
        <v>59.6062791543239</v>
      </c>
      <c r="Q40" s="4">
        <v>58.034946415333799</v>
      </c>
      <c r="R40" s="4">
        <v>54.822449361573803</v>
      </c>
      <c r="S40" s="4">
        <v>57.234837852698199</v>
      </c>
      <c r="T40" s="4">
        <v>59.265982546520199</v>
      </c>
      <c r="U40" s="4">
        <v>60.356563691187397</v>
      </c>
      <c r="V40" s="4">
        <v>63.704434196630999</v>
      </c>
      <c r="W40" s="4">
        <v>69.028462578042195</v>
      </c>
      <c r="X40" s="4">
        <v>71.410088084764297</v>
      </c>
      <c r="Y40" s="4">
        <v>72.399300303140606</v>
      </c>
      <c r="Z40" s="4">
        <v>74.446998547390905</v>
      </c>
      <c r="AA40" s="4">
        <v>76.577017883697593</v>
      </c>
      <c r="AB40" s="4">
        <v>77.207992961502299</v>
      </c>
      <c r="AC40" s="4">
        <v>80.857477630727303</v>
      </c>
      <c r="AD40" s="4">
        <v>79.861205501772503</v>
      </c>
      <c r="AE40" s="4">
        <v>81.065783083749395</v>
      </c>
      <c r="AF40" s="4">
        <v>82.666169014563295</v>
      </c>
      <c r="AG40" s="4">
        <v>83.210096878480499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Gross output</vt:lpstr>
      <vt:lpstr>Gross output quantity</vt:lpstr>
      <vt:lpstr>Labor input quantity</vt:lpstr>
      <vt:lpstr>Labor compensation</vt:lpstr>
      <vt:lpstr>Value added</vt:lpstr>
      <vt:lpstr>TFP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愉昕 刘</cp:lastModifiedBy>
  <dcterms:created xsi:type="dcterms:W3CDTF">2006-09-16T00:00:00Z</dcterms:created>
  <dcterms:modified xsi:type="dcterms:W3CDTF">2025-12-07T13:37:30Z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10C0BA515FB94F03B5828696EB00D590_12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WM3077ab90ffe811f0800039a8000038a8">
    <vt:lpwstr>CWMui37X7Kxq8J8Rn4t2xZED4y90ra5nVweNjMb446hJ5a+FZPBnFL9t9ulJk8Dlwol/nRn8ZbllaCzeMJrq/P5UQ==</vt:lpwstr>
  </property>
</Properties>
</file>